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420" yWindow="680" windowWidth="25820" windowHeight="15380"/>
  </bookViews>
  <sheets>
    <sheet sheetId="1" name="業務報告書・社内用（20日締）" state="visible" r:id="rId4"/>
    <sheet sheetId="6" name="祝祭日" state="visible" r:id="rId5"/>
  </sheets>
  <definedNames>
    <definedName name="システム開発事業部">'業務報告書・社内用（20日締）'!$CH$2:$CH$4</definedName>
    <definedName name="外勤">'業務報告書・社内用（20日締）'!$CF$2:$CF$6</definedName>
    <definedName name="設計開発部">'業務報告書・社内用（20日締）'!$CG$2:$CG$3</definedName>
  </definedNames>
  <calcPr calcId="171027" fullCalcOnLoad="1"/>
</workbook>
</file>

<file path=xl/sharedStrings.xml><?xml version="1.0" encoding="utf-8"?>
<sst xmlns="http://schemas.openxmlformats.org/spreadsheetml/2006/main" count="309" uniqueCount="137">
  <si>
    <t>業務報告書</t>
  </si>
  <si>
    <t>勤怠状況①</t>
  </si>
  <si>
    <t>有給休暇</t>
  </si>
  <si>
    <t>直行</t>
  </si>
  <si>
    <t>遅刻（電車遅延）</t>
  </si>
  <si>
    <t>遅刻</t>
  </si>
  <si>
    <t>欠勤</t>
  </si>
  <si>
    <t>特別休暇</t>
  </si>
  <si>
    <t>振替休日</t>
  </si>
  <si>
    <t>振替予定休日出勤</t>
  </si>
  <si>
    <t>休日出勤</t>
  </si>
  <si>
    <t>勤怠状況②</t>
  </si>
  <si>
    <t>直帰</t>
  </si>
  <si>
    <t>早退</t>
  </si>
  <si>
    <t>外勤</t>
  </si>
  <si>
    <t>設計開発部</t>
  </si>
  <si>
    <t>開発部</t>
  </si>
  <si>
    <t>部署名</t>
  </si>
  <si>
    <t>待機</t>
  </si>
  <si>
    <t>システム開発１課</t>
  </si>
  <si>
    <t>年</t>
  </si>
  <si>
    <t>月分</t>
  </si>
  <si>
    <t>課名</t>
  </si>
  <si>
    <t>平日</t>
  </si>
  <si>
    <t>環境部</t>
  </si>
  <si>
    <t>基幹システム開発</t>
  </si>
  <si>
    <t>システム開発２課</t>
  </si>
  <si>
    <t>氏名</t>
  </si>
  <si>
    <t>㊞</t>
  </si>
  <si>
    <t>休憩</t>
  </si>
  <si>
    <t>範囲</t>
  </si>
  <si>
    <t>新基幹システム開発</t>
  </si>
  <si>
    <t>受託開発室</t>
  </si>
  <si>
    <t>（</t>
  </si>
  <si>
    <t>月</t>
  </si>
  <si>
    <t>日</t>
  </si>
  <si>
    <t>～</t>
  </si>
  <si>
    <t>）</t>
  </si>
  <si>
    <t>社員№</t>
  </si>
  <si>
    <t>尼崎技術研修所</t>
  </si>
  <si>
    <t>就業日</t>
  </si>
  <si>
    <t>始業時刻</t>
  </si>
  <si>
    <t>終業時刻</t>
  </si>
  <si>
    <t xml:space="preserve">時間内
時間</t>
  </si>
  <si>
    <t xml:space="preserve">時間外
時間</t>
  </si>
  <si>
    <t>深夜時間</t>
  </si>
  <si>
    <t xml:space="preserve">休日勤務
時間</t>
  </si>
  <si>
    <t>備考</t>
  </si>
  <si>
    <t>勤怠状況</t>
  </si>
  <si>
    <t>届</t>
  </si>
  <si>
    <t>就業時間</t>
  </si>
  <si>
    <t>深夜</t>
  </si>
  <si>
    <t>早朝</t>
  </si>
  <si>
    <t>曜</t>
  </si>
  <si>
    <t>時</t>
  </si>
  <si>
    <t>分</t>
  </si>
  <si>
    <t>平日フラグ</t>
  </si>
  <si>
    <t>休日フラグ</t>
  </si>
  <si>
    <t>振休予定出勤フラグ</t>
  </si>
  <si>
    <t>休日出勤フラグ</t>
  </si>
  <si>
    <t>AM</t>
  </si>
  <si>
    <t>PM</t>
  </si>
  <si>
    <t>時間外</t>
  </si>
  <si>
    <t>時間内</t>
  </si>
  <si>
    <t>控除</t>
  </si>
  <si>
    <t>早退チェック</t>
  </si>
  <si>
    <t>控除チェック</t>
  </si>
  <si>
    <t>時間外平日</t>
  </si>
  <si>
    <t>時間外平日深夜</t>
  </si>
  <si>
    <t>時間外休日</t>
  </si>
  <si>
    <t>休日深夜</t>
  </si>
  <si>
    <t>時間外チェック</t>
  </si>
  <si>
    <t>直行・直帰チェック</t>
  </si>
  <si>
    <t>金</t>
  </si>
  <si>
    <t>土</t>
  </si>
  <si>
    <t>・</t>
  </si>
  <si>
    <t>火</t>
  </si>
  <si>
    <t>水</t>
  </si>
  <si>
    <t>木</t>
  </si>
  <si>
    <t>平日実働時間</t>
  </si>
  <si>
    <t>時間</t>
  </si>
  <si>
    <t>休日実働時間</t>
  </si>
  <si>
    <t>所定休日</t>
  </si>
  <si>
    <t>土曜日・日曜日・祝祭日</t>
  </si>
  <si>
    <t>時間外勤務時間</t>
  </si>
  <si>
    <t>実働８時間以上</t>
  </si>
  <si>
    <t>割増単位</t>
  </si>
  <si>
    <t>控除単位</t>
  </si>
  <si>
    <t>休日割増適用日</t>
  </si>
  <si>
    <t>日曜日</t>
  </si>
  <si>
    <t xml:space="preserve">当月
合計</t>
  </si>
  <si>
    <t>所定労働日数</t>
  </si>
  <si>
    <t>所定時間内時間合計</t>
  </si>
  <si>
    <t>出　勤　日　数</t>
  </si>
  <si>
    <t>遅刻  ・ 早退</t>
  </si>
  <si>
    <t>有　給　休　暇　日　数</t>
  </si>
  <si>
    <t>時間外（平日普通）</t>
  </si>
  <si>
    <t>欠　　勤　　日　　数</t>
  </si>
  <si>
    <t>時間外（平日深夜）</t>
  </si>
  <si>
    <t>特　別　休　暇　日　数</t>
  </si>
  <si>
    <t>時間外（休日普通）</t>
  </si>
  <si>
    <t>休日出勤（土・祝祭日）日数</t>
  </si>
  <si>
    <t>時間外（休日深夜）</t>
  </si>
  <si>
    <t>法定休日出勤日数</t>
  </si>
  <si>
    <t>残業平日普通（月60ｈ以上）</t>
  </si>
  <si>
    <t>振　替　休　暇　日　数</t>
  </si>
  <si>
    <t>残業休日普通（月60ｈ以上）</t>
  </si>
  <si>
    <t>注意点</t>
  </si>
  <si>
    <t>※当日の有給休暇は原則として認めません。欠勤扱いとなります。</t>
  </si>
  <si>
    <t>モラブ阪神工業株式会社</t>
  </si>
  <si>
    <t>締日翌日の午前までに管理責任者⇒所属長⇒管理</t>
  </si>
  <si>
    <t>管理部直通　 FAX （079）556-8812</t>
  </si>
  <si>
    <t>管理</t>
  </si>
  <si>
    <t>管理責任者印</t>
  </si>
  <si>
    <t>所属長印</t>
  </si>
  <si>
    <t>関係部署印</t>
  </si>
  <si>
    <t>保管</t>
  </si>
  <si>
    <t>TEL　（079）556-8811</t>
  </si>
  <si>
    <t>メール提出の場合：　kintai@morabu.com</t>
  </si>
  <si>
    <t>元日</t>
  </si>
  <si>
    <t>休日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</si>
  <si>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</si>
  <si>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</si>
  <si>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</si>
  <si>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</si>
  <si>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</si>
  <si>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</si>
  <si>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</si>
  <si>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</si>
  <si>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</si>
  <si>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</si>
  <si>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</si>
  <si>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</si>
  <si>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</si>
  <si>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</si>
  <si>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</si>
  <si>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大晦日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</si>
</sst>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_);[Red](0.00)"/>
    <numFmt numFmtId="165" formatCode="[$-F400]h:mm:ss AM/PM"/>
    <numFmt numFmtId="166" formatCode="00"/>
    <numFmt numFmtId="167" formatCode="[h]:mm"/>
    <numFmt numFmtId="168" formatCode="0_);[Red](0)"/>
    <numFmt numFmtId="169" formatCode="0.00_ "/>
    <numFmt numFmtId="170" formatCode="0_ "/>
  </numFmts>
  <fonts count="32" x14ac:knownFonts="1">
    <font>
      <color theme="1"/>
      <family val="2"/>
      <scheme val="minor"/>
      <sz val="11"/>
      <name val="Calibri"/>
    </font>
    <font>
      <b/>
      <u/>
      <charset val="128"/>
      <color theme="1"/>
      <family val="2"/>
      <sz val="22"/>
      <name val="MS UI Gothic"/>
    </font>
    <font>
      <color rgb="FF000000"/>
      <scheme val="minor"/>
      <sz val="11"/>
      <name val="Arial"/>
    </font>
    <font>
      <charset val="128"/>
      <color theme="1"/>
      <family val="2"/>
      <sz val="11"/>
      <name val="MS UI Gothic"/>
    </font>
    <font>
      <charset val="128"/>
      <color theme="1"/>
      <family val="2"/>
      <sz val="10"/>
      <name val="MS PGothic"/>
    </font>
    <font>
      <charset val="128"/>
      <color theme="1"/>
      <family val="2"/>
      <sz val="10"/>
      <name val="MS UI Gothic"/>
    </font>
    <font>
      <b/>
      <charset val="128"/>
      <color theme="1"/>
      <family val="2"/>
      <sz val="18"/>
      <name val="MS UI Gothic"/>
    </font>
    <font>
      <charset val="128"/>
      <color theme="1"/>
      <family val="2"/>
      <sz val="9"/>
      <name val="MS UI Gothic"/>
    </font>
    <font>
      <family val="2"/>
      <sz val="11"/>
      <name val="Arial"/>
    </font>
    <font>
      <b/>
      <color theme="1"/>
      <family val="2"/>
      <sz val="18"/>
      <name val="Arial"/>
    </font>
    <font>
      <color theme="1"/>
      <family val="2"/>
      <sz val="10"/>
      <name val="Arial"/>
    </font>
    <font>
      <charset val="128"/>
      <color rgb="FF595959"/>
      <family val="2"/>
      <sz val="11"/>
      <name val="MS UI Gothic"/>
    </font>
    <font>
      <color theme="1"/>
      <family val="2"/>
      <sz val="11"/>
      <name val="Arial"/>
    </font>
    <font>
      <charset val="128"/>
      <color theme="1"/>
      <family val="2"/>
      <sz val="8"/>
      <name val="MS UI Gothic"/>
    </font>
    <font>
      <color theme="1"/>
      <family val="2"/>
      <sz val="9"/>
      <name val="Arial"/>
    </font>
    <font>
      <charset val="128"/>
      <color rgb="FFFF0000"/>
      <family val="2"/>
      <sz val="10"/>
      <name val="MS UI Gothic"/>
    </font>
    <font>
      <b/>
      <color theme="1"/>
      <family val="2"/>
      <sz val="10"/>
      <name val="Arial"/>
    </font>
    <font>
      <b/>
      <charset val="128"/>
      <color theme="1"/>
      <family val="2"/>
      <sz val="11"/>
      <name val="MS UI Gothic"/>
    </font>
    <font>
      <b/>
      <charset val="128"/>
      <color theme="1"/>
      <family val="2"/>
      <sz val="10"/>
      <name val="MS UI Gothic"/>
    </font>
    <font>
      <b/>
      <charset val="128"/>
      <color theme="1"/>
      <family val="2"/>
      <sz val="9"/>
      <name val="MS PGothic"/>
    </font>
    <font>
      <charset val="128"/>
      <color theme="1"/>
      <family val="2"/>
      <sz val="9"/>
      <name val="MS PGothic"/>
    </font>
    <font>
      <b/>
      <charset val="128"/>
      <color theme="1"/>
      <family val="2"/>
      <sz val="16"/>
      <name val="MS PGothic"/>
    </font>
    <font>
      <b/>
      <charset val="128"/>
      <color theme="1"/>
      <family val="2"/>
      <sz val="18"/>
      <name val="MS PGothic"/>
    </font>
    <font>
      <b/>
      <charset val="128"/>
      <color theme="1"/>
      <family val="2"/>
      <sz val="12"/>
      <name val="MS PGothic"/>
    </font>
    <font>
      <charset val="128"/>
      <color theme="1"/>
      <family val="2"/>
      <sz val="8"/>
      <name val="MS PGothic"/>
    </font>
    <font>
      <b/>
      <charset val="128"/>
      <color rgb="FFFF0000"/>
      <family val="2"/>
      <sz val="14"/>
      <name val="MS PGothic"/>
    </font>
    <font>
      <b/>
      <charset val="128"/>
      <color theme="1"/>
      <family val="2"/>
      <sz val="14"/>
      <name val="MS PGothic"/>
    </font>
    <font>
      <b/>
      <charset val="128"/>
      <color theme="1"/>
      <family val="2"/>
      <sz val="11"/>
      <name val="MS PGothic"/>
    </font>
    <font>
      <b/>
      <charset val="128"/>
      <color theme="1"/>
      <family val="2"/>
      <sz val="14"/>
      <name val="MS UI Gothic"/>
    </font>
    <font>
      <charset val="128"/>
      <color theme="1"/>
      <family val="2"/>
      <sz val="18"/>
      <name val="MS PGothic"/>
    </font>
    <font>
      <charset val="128"/>
      <color theme="1"/>
      <family val="2"/>
      <sz val="12"/>
      <name val="MS UI Gothic"/>
    </font>
    <font>
      <charset val="128"/>
      <color theme="1"/>
      <family val="2"/>
      <sz val="11"/>
      <name val="MS PGothic"/>
    </font>
  </fonts>
  <fills count="7">
    <fill>
      <patternFill patternType="none"/>
    </fill>
    <fill>
      <patternFill patternType="gray125"/>
    </fill>
    <fill>
      <patternFill patternType="solid">
        <fgColor rgb="FFFEF4EC"/>
        <bgColor rgb="FFFEF4EC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99"/>
        <bgColor rgb="FFFFFF99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20" fontId="5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166" fontId="5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7" fillId="0" borderId="11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shrinkToFit="1"/>
    </xf>
    <xf numFmtId="0" fontId="7" fillId="0" borderId="13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20" fontId="5" fillId="0" borderId="15" xfId="0" applyNumberFormat="1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20" fontId="5" fillId="0" borderId="13" xfId="0" applyNumberFormat="1" applyFont="1" applyBorder="1" applyAlignment="1">
      <alignment vertical="center"/>
    </xf>
    <xf numFmtId="20" fontId="5" fillId="0" borderId="11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8" fillId="0" borderId="7" xfId="0" applyFont="1" applyBorder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5" fillId="0" borderId="1" xfId="0" applyFont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0" borderId="15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3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66" fontId="12" fillId="2" borderId="15" xfId="0" applyNumberFormat="1" applyFont="1" applyFill="1" applyBorder="1" applyAlignment="1">
      <alignment horizontal="center"/>
    </xf>
    <xf numFmtId="0" fontId="8" fillId="0" borderId="2" xfId="0" applyFont="1" applyBorder="1" applyAlignment="1">
      <alignment vertical="center"/>
    </xf>
    <xf numFmtId="166" fontId="12" fillId="2" borderId="19" xfId="0" applyNumberFormat="1" applyFont="1" applyFill="1" applyBorder="1" applyAlignment="1">
      <alignment horizontal="center"/>
    </xf>
    <xf numFmtId="166" fontId="3" fillId="0" borderId="15" xfId="0" applyNumberFormat="1" applyFont="1" applyBorder="1" applyAlignment="1">
      <alignment horizontal="center"/>
    </xf>
    <xf numFmtId="20" fontId="3" fillId="0" borderId="15" xfId="0" applyNumberFormat="1" applyFont="1" applyBorder="1" applyAlignment="1">
      <alignment horizontal="center"/>
    </xf>
    <xf numFmtId="0" fontId="12" fillId="2" borderId="15" xfId="0" applyFont="1" applyFill="1" applyBorder="1" applyAlignment="1">
      <alignment horizontal="center" vertical="center" shrinkToFit="1"/>
    </xf>
    <xf numFmtId="0" fontId="5" fillId="2" borderId="19" xfId="0" applyFont="1" applyFill="1" applyBorder="1" applyAlignment="1">
      <alignment horizontal="center" vertical="center" shrinkToFit="1"/>
    </xf>
    <xf numFmtId="0" fontId="8" fillId="0" borderId="21" xfId="0" applyFont="1" applyBorder="1" applyAlignment="1">
      <alignment vertical="center"/>
    </xf>
    <xf numFmtId="0" fontId="5" fillId="2" borderId="9" xfId="0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vertical="center"/>
    </xf>
    <xf numFmtId="0" fontId="7" fillId="0" borderId="15" xfId="0" applyFont="1" applyBorder="1" applyAlignment="1">
      <alignment horizontal="center" vertical="center" shrinkToFit="1"/>
    </xf>
    <xf numFmtId="20" fontId="7" fillId="2" borderId="9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 shrinkToFit="1"/>
    </xf>
    <xf numFmtId="0" fontId="7" fillId="0" borderId="9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8" fontId="5" fillId="0" borderId="5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4" fontId="5" fillId="0" borderId="5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14" xfId="0" applyNumberFormat="1" applyFont="1" applyBorder="1" applyAlignment="1">
      <alignment vertical="center"/>
    </xf>
    <xf numFmtId="169" fontId="5" fillId="0" borderId="0" xfId="0" applyNumberFormat="1" applyFont="1" applyAlignment="1">
      <alignment vertical="center"/>
    </xf>
    <xf numFmtId="0" fontId="12" fillId="4" borderId="15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textRotation="255"/>
    </xf>
    <xf numFmtId="0" fontId="7" fillId="2" borderId="9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166" fontId="12" fillId="0" borderId="15" xfId="0" applyNumberFormat="1" applyFont="1" applyBorder="1" applyAlignment="1">
      <alignment horizontal="center"/>
    </xf>
    <xf numFmtId="20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shrinkToFit="1"/>
    </xf>
    <xf numFmtId="0" fontId="7" fillId="0" borderId="15" xfId="0" applyFont="1" applyBorder="1" applyAlignment="1">
      <alignment vertical="center"/>
    </xf>
    <xf numFmtId="20" fontId="12" fillId="0" borderId="15" xfId="0" applyNumberFormat="1" applyFont="1" applyBorder="1" applyAlignment="1">
      <alignment horizontal="center"/>
    </xf>
    <xf numFmtId="0" fontId="7" fillId="3" borderId="1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20" fontId="5" fillId="0" borderId="22" xfId="0" applyNumberFormat="1" applyFont="1" applyBorder="1" applyAlignment="1">
      <alignment vertical="center"/>
    </xf>
    <xf numFmtId="167" fontId="5" fillId="0" borderId="22" xfId="0" applyNumberFormat="1" applyFont="1" applyBorder="1" applyAlignment="1">
      <alignment vertical="center"/>
    </xf>
    <xf numFmtId="164" fontId="5" fillId="0" borderId="24" xfId="0" applyNumberFormat="1" applyFont="1" applyBorder="1" applyAlignment="1">
      <alignment vertical="center"/>
    </xf>
    <xf numFmtId="164" fontId="5" fillId="0" borderId="22" xfId="0" applyNumberFormat="1" applyFont="1" applyBorder="1" applyAlignment="1">
      <alignment vertical="center"/>
    </xf>
    <xf numFmtId="164" fontId="5" fillId="0" borderId="23" xfId="0" applyNumberFormat="1" applyFont="1" applyBorder="1" applyAlignment="1">
      <alignment vertical="center"/>
    </xf>
    <xf numFmtId="169" fontId="5" fillId="0" borderId="22" xfId="0" applyNumberFormat="1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168" fontId="17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8" fontId="17" fillId="0" borderId="11" xfId="0" applyNumberFormat="1" applyFont="1" applyBorder="1" applyAlignment="1">
      <alignment horizontal="right" vertical="center"/>
    </xf>
    <xf numFmtId="168" fontId="17" fillId="0" borderId="10" xfId="0" applyNumberFormat="1" applyFont="1" applyBorder="1" applyAlignment="1">
      <alignment vertical="center"/>
    </xf>
    <xf numFmtId="168" fontId="5" fillId="0" borderId="0" xfId="0" applyNumberFormat="1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8" fontId="3" fillId="0" borderId="11" xfId="0" applyNumberFormat="1" applyFont="1" applyBorder="1" applyAlignment="1">
      <alignment horizontal="right" vertical="center"/>
    </xf>
    <xf numFmtId="170" fontId="3" fillId="0" borderId="10" xfId="0" applyNumberFormat="1" applyFont="1" applyBorder="1" applyAlignment="1">
      <alignment vertical="center"/>
    </xf>
    <xf numFmtId="0" fontId="5" fillId="0" borderId="15" xfId="0" applyFont="1" applyBorder="1" applyAlignment="1">
      <alignment horizontal="center" vertical="center" shrinkToFit="1"/>
    </xf>
    <xf numFmtId="0" fontId="7" fillId="5" borderId="15" xfId="0" applyFont="1" applyFill="1" applyBorder="1" applyAlignment="1">
      <alignment horizontal="center" vertical="center"/>
    </xf>
    <xf numFmtId="168" fontId="3" fillId="5" borderId="11" xfId="0" applyNumberFormat="1" applyFont="1" applyFill="1" applyBorder="1" applyAlignment="1">
      <alignment horizontal="right" vertical="center"/>
    </xf>
    <xf numFmtId="0" fontId="5" fillId="5" borderId="9" xfId="0" applyFont="1" applyFill="1" applyBorder="1" applyAlignment="1">
      <alignment horizontal="center" vertical="center"/>
    </xf>
    <xf numFmtId="170" fontId="3" fillId="5" borderId="10" xfId="0" applyNumberFormat="1" applyFont="1" applyFill="1" applyBorder="1" applyAlignment="1">
      <alignment vertical="center"/>
    </xf>
    <xf numFmtId="168" fontId="3" fillId="5" borderId="15" xfId="0" applyNumberFormat="1" applyFont="1" applyFill="1" applyBorder="1" applyAlignment="1">
      <alignment horizontal="right" vertical="center"/>
    </xf>
    <xf numFmtId="170" fontId="3" fillId="5" borderId="9" xfId="0" applyNumberFormat="1" applyFont="1" applyFill="1" applyBorder="1" applyAlignment="1">
      <alignment vertical="center"/>
    </xf>
    <xf numFmtId="0" fontId="19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6" borderId="25" xfId="0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5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0" xfId="0" applyFont="1"/>
    <xf numFmtId="0" fontId="5" fillId="0" borderId="11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center"/>
    </xf>
    <xf numFmtId="0" fontId="26" fillId="0" borderId="28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7" fillId="0" borderId="28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2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3" fillId="0" borderId="32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8" fillId="0" borderId="29" xfId="0" applyFont="1" applyBorder="1" applyAlignment="1">
      <alignment vertical="center"/>
    </xf>
    <xf numFmtId="0" fontId="28" fillId="0" borderId="30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30" fillId="0" borderId="0" xfId="0" applyFont="1" applyAlignment="1">
      <alignment vertical="center" wrapText="1"/>
    </xf>
    <xf numFmtId="14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</cellXfs>
  <cellStyles count="1">
    <cellStyle name="Normal" xfId="0" builtinId="0"/>
  </cellStyles>
  <dxfs count="7">
    <dxf>
      <fill>
        <patternFill patternType="solid">
          <fgColor rgb="FFD8D8D8"/>
          <bgColor rgb="FFD8D8D8"/>
        </patternFill>
      </fill>
    </dxf>
    <dxf>
      <font>
        <color rgb="FFFDE9D9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L1000"/>
  <sheetViews>
    <sheetView workbookViewId="0" zoomScale="100" zoomScaleNormal="100">
      <selection activeCell="AQ18" sqref="AQ18"/>
    </sheetView>
  </sheetViews>
  <sheetFormatPr defaultRowHeight="15" outlineLevelRow="0" outlineLevelCol="0" x14ac:dyDescent="0.15" defaultColWidth="12.6640625"/>
  <cols>
    <col min="1" max="52" width="1.6640625" customWidth="1"/>
    <col min="53" max="54" width="1.83203125" customWidth="1"/>
    <col min="55" max="55" width="1.6640625" customWidth="1"/>
    <col min="56" max="56" width="1.6640625" hidden="1" customWidth="1"/>
    <col min="57" max="83" width="7.83203125" hidden="1" customWidth="1"/>
    <col min="84" max="84" width="14.1640625" hidden="1" customWidth="1"/>
    <col min="85" max="85" width="11" hidden="1" customWidth="1"/>
    <col min="86" max="86" width="13.5" hidden="1" customWidth="1"/>
  </cols>
  <sheetData>
    <row r="1" ht="30" customHeight="1" spans="1:8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  <c r="BD1" s="3"/>
      <c r="BE1" s="4" t="s">
        <v>1</v>
      </c>
      <c r="BF1" s="5" t="s">
        <v>2</v>
      </c>
      <c r="BG1" s="6" t="s">
        <v>3</v>
      </c>
      <c r="BH1" s="6" t="s">
        <v>4</v>
      </c>
      <c r="BI1" s="6" t="s">
        <v>5</v>
      </c>
      <c r="BJ1" s="6" t="s">
        <v>6</v>
      </c>
      <c r="BK1" s="6" t="s">
        <v>7</v>
      </c>
      <c r="BL1" s="6" t="s">
        <v>8</v>
      </c>
      <c r="BM1" s="6" t="s">
        <v>9</v>
      </c>
      <c r="BN1" s="7" t="s">
        <v>10</v>
      </c>
      <c r="BO1" s="8"/>
      <c r="BP1" s="4" t="s">
        <v>11</v>
      </c>
      <c r="BQ1" s="9" t="s">
        <v>12</v>
      </c>
      <c r="BR1" s="10" t="s">
        <v>13</v>
      </c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 t="s">
        <v>14</v>
      </c>
      <c r="CG1" s="11" t="s">
        <v>15</v>
      </c>
      <c r="CH1" s="11" t="s">
        <v>16</v>
      </c>
    </row>
    <row r="2" ht="18.75" customHeight="1" spans="1:86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3"/>
      <c r="AG2" s="3"/>
      <c r="AH2" s="3"/>
      <c r="AI2" s="3"/>
      <c r="AJ2" s="12"/>
      <c r="AK2" s="12"/>
      <c r="AL2" s="12"/>
      <c r="AM2" s="13" t="s">
        <v>17</v>
      </c>
      <c r="AN2" s="14"/>
      <c r="AO2" s="14"/>
      <c r="AP2" s="14"/>
      <c r="AQ2" s="15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3"/>
      <c r="BD2" s="3"/>
      <c r="BE2" s="11"/>
      <c r="BF2" s="16"/>
      <c r="BG2" s="16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>
        <v>-8.881784197001252e-16</v>
      </c>
      <c r="BW2" s="11"/>
      <c r="BX2" s="11"/>
      <c r="BY2" s="11"/>
      <c r="BZ2" s="11"/>
      <c r="CA2" s="11"/>
      <c r="CB2" s="11"/>
      <c r="CC2" s="11"/>
      <c r="CD2" s="11"/>
      <c r="CE2" s="11"/>
      <c r="CF2" s="11" t="s">
        <v>16</v>
      </c>
      <c r="CG2" s="11" t="s">
        <v>18</v>
      </c>
      <c r="CH2" s="11" t="s">
        <v>19</v>
      </c>
    </row>
    <row r="3" ht="18.75" customHeight="1" spans="1:86" x14ac:dyDescent="0.25">
      <c r="A3" s="17"/>
      <c r="B3" s="18"/>
      <c r="C3" s="18"/>
      <c r="D3" s="18"/>
      <c r="E3" s="18"/>
      <c r="F3" s="12" t="s">
        <v>20</v>
      </c>
      <c r="G3" s="2"/>
      <c r="H3" s="2"/>
      <c r="I3" s="19"/>
      <c r="J3" s="18"/>
      <c r="K3" s="18"/>
      <c r="L3" s="18"/>
      <c r="M3" s="12" t="s">
        <v>21</v>
      </c>
      <c r="N3" s="2"/>
      <c r="O3" s="2"/>
      <c r="P3" s="2"/>
      <c r="Q3" s="12"/>
      <c r="R3" s="12"/>
      <c r="S3" s="12"/>
      <c r="T3" s="12"/>
      <c r="U3" s="3"/>
      <c r="V3" s="3"/>
      <c r="W3" s="3"/>
      <c r="X3" s="3"/>
      <c r="Y3" s="3"/>
      <c r="Z3" s="3"/>
      <c r="AA3" s="3"/>
      <c r="AB3" s="3"/>
      <c r="AC3" s="3"/>
      <c r="AD3" s="12"/>
      <c r="AE3" s="12"/>
      <c r="AF3" s="3"/>
      <c r="AG3" s="3"/>
      <c r="AH3" s="3"/>
      <c r="AI3" s="3"/>
      <c r="AJ3" s="12"/>
      <c r="AK3" s="12"/>
      <c r="AL3" s="12"/>
      <c r="AM3" s="13" t="s">
        <v>22</v>
      </c>
      <c r="AN3" s="14"/>
      <c r="AO3" s="14"/>
      <c r="AP3" s="14"/>
      <c r="AQ3" s="20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3"/>
      <c r="BD3" s="3"/>
      <c r="BE3" s="21" t="s">
        <v>23</v>
      </c>
      <c r="BF3" s="22">
        <f t="shared" ref="BF3:BF5" si="0">AS9</f>
        <v>0.375</v>
      </c>
      <c r="BG3" s="22">
        <f t="shared" ref="BG3:BG5" si="1">AW9</f>
        <v>0.7395833333321207</v>
      </c>
      <c r="BH3" s="23">
        <f>BG3*24-BF3*24-BH4</f>
        <v>7.75</v>
      </c>
      <c r="BI3" s="11"/>
      <c r="BJ3" s="11"/>
      <c r="BK3" s="11"/>
      <c r="BL3" s="11"/>
      <c r="BM3" s="11"/>
      <c r="BN3" s="11"/>
      <c r="BO3" s="11"/>
      <c r="BP3" s="11"/>
      <c r="BQ3" s="11"/>
      <c r="BR3" s="24"/>
      <c r="BS3" s="24"/>
      <c r="BT3" s="24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24" t="s">
        <v>24</v>
      </c>
      <c r="CG3" s="11" t="s">
        <v>25</v>
      </c>
      <c r="CH3" s="11" t="s">
        <v>26</v>
      </c>
    </row>
    <row r="4" ht="18.75" customHeight="1" spans="1:86" x14ac:dyDescent="0.25">
      <c r="A4" s="18"/>
      <c r="B4" s="2"/>
      <c r="C4" s="2"/>
      <c r="D4" s="2"/>
      <c r="E4" s="2"/>
      <c r="F4" s="2"/>
      <c r="G4" s="2"/>
      <c r="H4" s="2"/>
      <c r="I4" s="18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25" t="s">
        <v>27</v>
      </c>
      <c r="AN4" s="26"/>
      <c r="AO4" s="26"/>
      <c r="AP4" s="26"/>
      <c r="AQ4" s="27"/>
      <c r="AR4" s="26"/>
      <c r="AS4" s="26"/>
      <c r="AT4" s="26"/>
      <c r="AU4" s="26"/>
      <c r="AV4" s="26"/>
      <c r="AW4" s="26"/>
      <c r="AX4" s="26"/>
      <c r="AY4" s="26"/>
      <c r="AZ4" s="28" t="s">
        <v>28</v>
      </c>
      <c r="BA4" s="29"/>
      <c r="BB4" s="29"/>
      <c r="BC4" s="3"/>
      <c r="BD4" s="3"/>
      <c r="BE4" s="21" t="s">
        <v>29</v>
      </c>
      <c r="BF4" s="22">
        <f t="shared" si="0"/>
        <v>0.5</v>
      </c>
      <c r="BG4" s="22">
        <f t="shared" si="1"/>
        <v>0.5416666666678793</v>
      </c>
      <c r="BH4" s="23">
        <f t="shared" ref="BH4:BH5" si="2">BA10/60</f>
        <v>1</v>
      </c>
      <c r="BI4" s="11"/>
      <c r="BJ4" s="11" t="s">
        <v>30</v>
      </c>
      <c r="BK4" s="30"/>
      <c r="BL4" s="3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 t="s">
        <v>31</v>
      </c>
      <c r="CG4" s="11"/>
      <c r="CH4" s="11" t="s">
        <v>32</v>
      </c>
    </row>
    <row r="5" ht="18.75" customHeight="1" spans="1:86" x14ac:dyDescent="0.25">
      <c r="A5" s="3" t="s">
        <v>33</v>
      </c>
      <c r="B5" s="32">
        <f>IF($I$3=1,12,$I$3-1)</f>
        <v>8</v>
      </c>
      <c r="C5" s="14"/>
      <c r="D5" s="14"/>
      <c r="E5" s="32" t="s">
        <v>34</v>
      </c>
      <c r="F5" s="14"/>
      <c r="G5" s="32">
        <v>21</v>
      </c>
      <c r="H5" s="14"/>
      <c r="I5" s="14"/>
      <c r="J5" s="32" t="s">
        <v>35</v>
      </c>
      <c r="K5" s="14"/>
      <c r="L5" s="32" t="s">
        <v>36</v>
      </c>
      <c r="M5" s="14"/>
      <c r="N5" s="14"/>
      <c r="O5" s="32">
        <f>$I$3</f>
        <v>9</v>
      </c>
      <c r="P5" s="14"/>
      <c r="Q5" s="14"/>
      <c r="R5" s="32" t="s">
        <v>34</v>
      </c>
      <c r="S5" s="14"/>
      <c r="T5" s="33">
        <v>20</v>
      </c>
      <c r="U5" s="14"/>
      <c r="V5" s="14"/>
      <c r="W5" s="32" t="s">
        <v>35</v>
      </c>
      <c r="X5" s="14"/>
      <c r="Y5" s="3" t="s">
        <v>37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25" t="s">
        <v>38</v>
      </c>
      <c r="AN5" s="26"/>
      <c r="AO5" s="26"/>
      <c r="AP5" s="26"/>
      <c r="AQ5" s="34"/>
      <c r="AR5" s="26"/>
      <c r="AS5" s="35"/>
      <c r="AT5" s="35"/>
      <c r="AU5" s="35"/>
      <c r="AV5" s="35"/>
      <c r="AW5" s="35"/>
      <c r="AX5" s="35"/>
      <c r="AY5" s="35"/>
      <c r="AZ5" s="14"/>
      <c r="BA5" s="14"/>
      <c r="BB5" s="14"/>
      <c r="BC5" s="3"/>
      <c r="BD5" s="3"/>
      <c r="BE5" s="21" t="s">
        <v>29</v>
      </c>
      <c r="BF5" s="22">
        <f t="shared" si="0"/>
        <v>0.7395833333321207</v>
      </c>
      <c r="BG5" s="22">
        <f t="shared" si="1"/>
        <v>0.75</v>
      </c>
      <c r="BH5" s="23">
        <f t="shared" si="2"/>
        <v>0.25</v>
      </c>
      <c r="BI5" s="11"/>
      <c r="BJ5" s="11" t="str">
        <f>CONCATENATE(IF($I$3=1,IF($B$5=1,$A$3,$A$3-1),$A$3),"/",$B$5,"/",$G$5)</f>
        <v>2026/8/21</v>
      </c>
      <c r="BK5" s="11" t="str">
        <f>CONCATENATE($A$3,"/",$O$5,"/",$T$5)</f>
        <v>2026/9/20</v>
      </c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 t="s">
        <v>39</v>
      </c>
      <c r="CG5" s="11"/>
      <c r="CH5" s="11"/>
    </row>
    <row r="6" ht="12.75" customHeight="1" spans="1:86" x14ac:dyDescent="0.25">
      <c r="A6" s="36" t="s">
        <v>40</v>
      </c>
      <c r="B6" s="29"/>
      <c r="C6" s="29"/>
      <c r="D6" s="37"/>
      <c r="E6" s="36" t="s">
        <v>41</v>
      </c>
      <c r="F6" s="29"/>
      <c r="G6" s="29"/>
      <c r="H6" s="37"/>
      <c r="I6" s="36" t="s">
        <v>42</v>
      </c>
      <c r="J6" s="29"/>
      <c r="K6" s="29"/>
      <c r="L6" s="37"/>
      <c r="M6" s="36" t="s">
        <v>29</v>
      </c>
      <c r="N6" s="37"/>
      <c r="O6" s="38" t="s">
        <v>43</v>
      </c>
      <c r="P6" s="29"/>
      <c r="Q6" s="29"/>
      <c r="R6" s="37"/>
      <c r="S6" s="38" t="s">
        <v>44</v>
      </c>
      <c r="T6" s="29"/>
      <c r="U6" s="29"/>
      <c r="V6" s="37"/>
      <c r="W6" s="38" t="s">
        <v>45</v>
      </c>
      <c r="X6" s="29"/>
      <c r="Y6" s="29"/>
      <c r="Z6" s="37"/>
      <c r="AA6" s="39" t="s">
        <v>46</v>
      </c>
      <c r="AB6" s="29"/>
      <c r="AC6" s="29"/>
      <c r="AD6" s="37"/>
      <c r="AE6" s="40" t="s">
        <v>47</v>
      </c>
      <c r="AF6" s="29"/>
      <c r="AG6" s="29"/>
      <c r="AH6" s="29"/>
      <c r="AI6" s="29"/>
      <c r="AJ6" s="41" t="s">
        <v>48</v>
      </c>
      <c r="AK6" s="29"/>
      <c r="AL6" s="29"/>
      <c r="AM6" s="29"/>
      <c r="AN6" s="29"/>
      <c r="AO6" s="37"/>
      <c r="AP6" s="42" t="s">
        <v>49</v>
      </c>
      <c r="AQ6" s="43" t="s">
        <v>50</v>
      </c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44"/>
      <c r="BC6" s="11"/>
      <c r="BD6" s="11"/>
      <c r="BE6" s="21" t="s">
        <v>51</v>
      </c>
      <c r="BF6" s="22">
        <v>0.9166666666678793</v>
      </c>
      <c r="BG6" s="45">
        <v>1.2083333333321207</v>
      </c>
      <c r="BH6" s="11"/>
      <c r="BI6" s="11"/>
      <c r="BJ6" s="11"/>
      <c r="BK6" s="11"/>
      <c r="BL6" s="11"/>
      <c r="BM6" s="11"/>
      <c r="BN6" s="22">
        <f t="shared" ref="BN6:BN7" si="3">BF3</f>
        <v>0.375</v>
      </c>
      <c r="BO6" s="22">
        <f t="shared" ref="BO6:BP6" si="4">BF4</f>
        <v>0.5</v>
      </c>
      <c r="BP6" s="22">
        <f t="shared" si="4"/>
        <v>0.5416666666678793</v>
      </c>
      <c r="BQ6" s="22">
        <f>BF5</f>
        <v>0.7395833333321207</v>
      </c>
      <c r="BR6" s="46">
        <f>BG3</f>
        <v>0.7395833333321207</v>
      </c>
      <c r="BS6" s="22">
        <f>BF6</f>
        <v>0.9166666666678793</v>
      </c>
      <c r="BT6" s="45">
        <f>BF7</f>
        <v>0.20833333333212067</v>
      </c>
      <c r="BU6" s="16"/>
      <c r="BV6" s="11"/>
      <c r="BW6" s="11"/>
      <c r="BX6" s="11"/>
      <c r="BY6" s="16"/>
      <c r="BZ6" s="11"/>
      <c r="CA6" s="11"/>
      <c r="CB6" s="11"/>
      <c r="CC6" s="11"/>
      <c r="CD6" s="11"/>
      <c r="CE6" s="11"/>
      <c r="CF6" s="11" t="s">
        <v>18</v>
      </c>
      <c r="CG6" s="11"/>
      <c r="CH6" s="11"/>
    </row>
    <row r="7" ht="12.75" customHeight="1" spans="1:86" x14ac:dyDescent="0.25">
      <c r="A7" s="47"/>
      <c r="B7" s="14"/>
      <c r="C7" s="14"/>
      <c r="D7" s="48"/>
      <c r="E7" s="47"/>
      <c r="F7" s="14"/>
      <c r="G7" s="14"/>
      <c r="H7" s="48"/>
      <c r="I7" s="47"/>
      <c r="J7" s="14"/>
      <c r="K7" s="14"/>
      <c r="L7" s="48"/>
      <c r="M7" s="47"/>
      <c r="N7" s="48"/>
      <c r="O7" s="47"/>
      <c r="P7" s="14"/>
      <c r="Q7" s="14"/>
      <c r="R7" s="48"/>
      <c r="S7" s="47"/>
      <c r="T7" s="14"/>
      <c r="U7" s="14"/>
      <c r="V7" s="48"/>
      <c r="W7" s="47"/>
      <c r="X7" s="14"/>
      <c r="Y7" s="14"/>
      <c r="Z7" s="48"/>
      <c r="AA7" s="47"/>
      <c r="AB7" s="14"/>
      <c r="AC7" s="14"/>
      <c r="AD7" s="48"/>
      <c r="AE7" s="49"/>
      <c r="AF7" s="2"/>
      <c r="AG7" s="2"/>
      <c r="AH7" s="2"/>
      <c r="AI7" s="2"/>
      <c r="AJ7" s="49"/>
      <c r="AK7" s="2"/>
      <c r="AL7" s="2"/>
      <c r="AM7" s="2"/>
      <c r="AN7" s="2"/>
      <c r="AO7" s="44"/>
      <c r="AP7" s="50"/>
      <c r="AQ7" s="49"/>
      <c r="AR7" s="2"/>
      <c r="AS7" s="2"/>
      <c r="AT7" s="2"/>
      <c r="AU7" s="2"/>
      <c r="AV7" s="2"/>
      <c r="AW7" s="2"/>
      <c r="AX7" s="2"/>
      <c r="AY7" s="2"/>
      <c r="AZ7" s="2"/>
      <c r="BA7" s="2"/>
      <c r="BB7" s="44"/>
      <c r="BC7" s="11"/>
      <c r="BD7" s="11"/>
      <c r="BE7" s="21" t="s">
        <v>52</v>
      </c>
      <c r="BF7" s="22">
        <v>0.20833333333212067</v>
      </c>
      <c r="BG7" s="22">
        <f>AS9</f>
        <v>0.375</v>
      </c>
      <c r="BH7" s="11"/>
      <c r="BI7" s="11"/>
      <c r="BJ7" s="11"/>
      <c r="BK7" s="11"/>
      <c r="BL7" s="11"/>
      <c r="BM7" s="11"/>
      <c r="BN7" s="51">
        <f t="shared" si="3"/>
        <v>0.5</v>
      </c>
      <c r="BO7" s="51">
        <f>BG4</f>
        <v>0.5416666666678793</v>
      </c>
      <c r="BP7" s="51">
        <f>BG3</f>
        <v>0.7395833333321207</v>
      </c>
      <c r="BQ7" s="51">
        <f>BG5</f>
        <v>0.75</v>
      </c>
      <c r="BR7" s="52">
        <f t="shared" ref="BR7:BS7" si="5">BF6</f>
        <v>0.9166666666678793</v>
      </c>
      <c r="BS7" s="45">
        <f t="shared" si="5"/>
        <v>1.2083333333321207</v>
      </c>
      <c r="BT7" s="45">
        <f>BG7</f>
        <v>0.375</v>
      </c>
      <c r="BU7" s="31"/>
      <c r="BV7" s="11"/>
      <c r="BW7" s="11"/>
      <c r="BX7" s="53">
        <f>$AW$27/60</f>
        <v>0.25</v>
      </c>
      <c r="BY7" s="31"/>
      <c r="BZ7" s="11"/>
      <c r="CA7" s="11"/>
      <c r="CB7" s="11"/>
      <c r="CC7" s="53">
        <f>$AW$24/60</f>
        <v>0.25</v>
      </c>
      <c r="CD7" s="11"/>
      <c r="CE7" s="11"/>
      <c r="CF7" s="11"/>
      <c r="CG7" s="11"/>
      <c r="CH7" s="11"/>
    </row>
    <row r="8" ht="13.5" customHeight="1" spans="1:86" x14ac:dyDescent="0.25">
      <c r="A8" s="54" t="s">
        <v>35</v>
      </c>
      <c r="B8" s="55"/>
      <c r="C8" s="54" t="s">
        <v>53</v>
      </c>
      <c r="D8" s="55"/>
      <c r="E8" s="54" t="s">
        <v>54</v>
      </c>
      <c r="F8" s="55"/>
      <c r="G8" s="56" t="s">
        <v>55</v>
      </c>
      <c r="H8" s="55"/>
      <c r="I8" s="54" t="s">
        <v>54</v>
      </c>
      <c r="J8" s="55"/>
      <c r="K8" s="56" t="s">
        <v>55</v>
      </c>
      <c r="L8" s="55"/>
      <c r="M8" s="54" t="s">
        <v>55</v>
      </c>
      <c r="N8" s="55"/>
      <c r="O8" s="54" t="s">
        <v>54</v>
      </c>
      <c r="P8" s="55"/>
      <c r="Q8" s="56" t="s">
        <v>55</v>
      </c>
      <c r="R8" s="55"/>
      <c r="S8" s="54" t="s">
        <v>54</v>
      </c>
      <c r="T8" s="55"/>
      <c r="U8" s="56" t="s">
        <v>55</v>
      </c>
      <c r="V8" s="55"/>
      <c r="W8" s="54" t="s">
        <v>54</v>
      </c>
      <c r="X8" s="55"/>
      <c r="Y8" s="56" t="s">
        <v>55</v>
      </c>
      <c r="Z8" s="55"/>
      <c r="AA8" s="54" t="s">
        <v>54</v>
      </c>
      <c r="AB8" s="55"/>
      <c r="AC8" s="56" t="s">
        <v>55</v>
      </c>
      <c r="AD8" s="55"/>
      <c r="AE8" s="47"/>
      <c r="AF8" s="14"/>
      <c r="AG8" s="14"/>
      <c r="AH8" s="14"/>
      <c r="AI8" s="14"/>
      <c r="AJ8" s="47"/>
      <c r="AK8" s="14"/>
      <c r="AL8" s="14"/>
      <c r="AM8" s="14"/>
      <c r="AN8" s="14"/>
      <c r="AO8" s="48"/>
      <c r="AP8" s="57"/>
      <c r="AQ8" s="47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48"/>
      <c r="BC8" s="11"/>
      <c r="BD8" s="11"/>
      <c r="BE8" s="11"/>
      <c r="BF8" s="11"/>
      <c r="BG8" s="11"/>
      <c r="BH8" s="58" t="s">
        <v>56</v>
      </c>
      <c r="BI8" s="58" t="s">
        <v>57</v>
      </c>
      <c r="BJ8" s="58" t="s">
        <v>58</v>
      </c>
      <c r="BK8" s="58" t="s">
        <v>59</v>
      </c>
      <c r="BL8" s="59" t="s">
        <v>41</v>
      </c>
      <c r="BM8" s="58" t="s">
        <v>42</v>
      </c>
      <c r="BN8" s="58" t="s">
        <v>60</v>
      </c>
      <c r="BO8" s="58" t="s">
        <v>29</v>
      </c>
      <c r="BP8" s="58" t="s">
        <v>61</v>
      </c>
      <c r="BQ8" s="58" t="s">
        <v>29</v>
      </c>
      <c r="BR8" s="60" t="s">
        <v>62</v>
      </c>
      <c r="BS8" s="58" t="s">
        <v>51</v>
      </c>
      <c r="BT8" s="58" t="s">
        <v>52</v>
      </c>
      <c r="BU8" s="59" t="s">
        <v>63</v>
      </c>
      <c r="BV8" s="58" t="s">
        <v>64</v>
      </c>
      <c r="BW8" s="58" t="s">
        <v>65</v>
      </c>
      <c r="BX8" s="58" t="s">
        <v>66</v>
      </c>
      <c r="BY8" s="58" t="s">
        <v>67</v>
      </c>
      <c r="BZ8" s="58" t="s">
        <v>68</v>
      </c>
      <c r="CA8" s="58" t="s">
        <v>69</v>
      </c>
      <c r="CB8" s="58" t="s">
        <v>70</v>
      </c>
      <c r="CC8" s="58" t="s">
        <v>71</v>
      </c>
      <c r="CD8" s="61" t="s">
        <v>72</v>
      </c>
      <c r="CE8" s="61"/>
      <c r="CF8" s="61"/>
      <c r="CG8" s="11"/>
      <c r="CH8" s="61"/>
    </row>
    <row r="9" ht="16.5" customHeight="1" spans="1:86" x14ac:dyDescent="0.25">
      <c r="A9" s="62">
        <v>21</v>
      </c>
      <c r="B9" s="55"/>
      <c r="C9" s="63" t="s">
        <v>73</v>
      </c>
      <c r="D9" s="55"/>
      <c r="E9" s="64"/>
      <c r="F9" s="65"/>
      <c r="G9" s="66"/>
      <c r="H9" s="55"/>
      <c r="I9" s="64"/>
      <c r="J9" s="65"/>
      <c r="K9" s="66"/>
      <c r="L9" s="55"/>
      <c r="M9" s="67">
        <f t="shared" ref="M9" si="6">IF(E9="","",IF((BO9+BQ9)=0,"",(BO9+BQ9)*60))</f>
        <v>60</v>
      </c>
      <c r="N9" s="55"/>
      <c r="O9" s="68">
        <f>IF(E9&lt;&gt;"",IF(BU9&lt;&gt;0,BU9/24,""),"")</f>
        <v>0.19791666666787933</v>
      </c>
      <c r="P9" s="26"/>
      <c r="Q9" s="26"/>
      <c r="R9" s="55"/>
      <c r="S9" s="68">
        <f t="shared" ref="S9:S16" si="7">IF(E9&lt;&gt;"",IF(BY9&lt;&gt;0,BY9/24,""),"")</f>
      </c>
      <c r="T9" s="26"/>
      <c r="U9" s="26"/>
      <c r="V9" s="55"/>
      <c r="W9" s="68">
        <f t="shared" ref="W9:W35" si="8">IF(E9&lt;&gt;"",IF(BS9&lt;&gt;0,BS9/24,""),"")</f>
      </c>
      <c r="X9" s="26"/>
      <c r="Y9" s="26"/>
      <c r="Z9" s="55"/>
      <c r="AA9" s="68">
        <f t="shared" ref="AA9:AA22" si="9">IF(E9&lt;&gt;"",IF(CA9&lt;&gt;0,CA9/24,""),"")</f>
      </c>
      <c r="AB9" s="26"/>
      <c r="AC9" s="26"/>
      <c r="AD9" s="55"/>
      <c r="AE9" s="69"/>
      <c r="AF9" s="26"/>
      <c r="AG9" s="26"/>
      <c r="AH9" s="26"/>
      <c r="AI9" s="26"/>
      <c r="AJ9" s="70"/>
      <c r="AK9" s="26"/>
      <c r="AL9" s="26"/>
      <c r="AM9" s="71"/>
      <c r="AN9" s="72"/>
      <c r="AO9" s="55"/>
      <c r="AP9" s="73" t="str">
        <f t="shared" ref="AP9:AP39" si="10">IF(OR(AJ9&lt;&gt;"",AN9&lt;&gt;"",(BV9+BW9)&lt;&gt;0),IF(CD9=1,"","要"),IF(OR(S9&lt;&gt;"",W9&lt;&gt;"",AA9&lt;&gt;""),"申",""))</f>
        <v>要</v>
      </c>
      <c r="AQ9" s="74" t="s">
        <v>23</v>
      </c>
      <c r="AR9" s="55"/>
      <c r="AS9" s="75">
        <v>0.375</v>
      </c>
      <c r="AT9" s="26"/>
      <c r="AU9" s="26"/>
      <c r="AV9" s="76" t="s">
        <v>36</v>
      </c>
      <c r="AW9" s="75">
        <v>0.7395833333321207</v>
      </c>
      <c r="AX9" s="26"/>
      <c r="AY9" s="26"/>
      <c r="AZ9" s="77"/>
      <c r="BA9" s="77"/>
      <c r="BB9" s="78"/>
      <c r="BC9" s="3"/>
      <c r="BD9" s="3">
        <f t="shared" ref="BD9:BD39" si="11">IF(ISERR(DAY(BG9)),1,IF(AND(DATEVALUE(BG9)&gt;=DATEVALUE($BJ$5),DATEVALUE(BG9)&lt;=DATEVALUE($BK$5)),0,1))</f>
        <v>0</v>
      </c>
      <c r="BE9" s="11">
        <f t="shared" ref="BE9:BE19" si="12">IF($I$3=1,$A$3-1,$A$3)</f>
        <v>2026</v>
      </c>
      <c r="BF9" s="11">
        <f t="shared" ref="BF9:BF19" si="13">IF($I$3=1,12,IF($B$5=$O$5,IF($B$5&lt;$I$3,$B$5,$B$5-1),$B$5))</f>
        <v>8</v>
      </c>
      <c r="BG9" s="11" t="str">
        <f t="shared" ref="BG9:BG39" si="14">CONCATENATE(BE9,"/",BF9,"/",A9)</f>
        <v>2026/8/21</v>
      </c>
      <c r="BH9" s="79">
        <f>IF(OR(COUNTIF(祝祭日!$A:$A,$BG9)&gt;=1,OR(C9="土",C9="日",C9="",BD9=1)),0,1)</f>
        <v>1</v>
      </c>
      <c r="BI9" s="11">
        <f t="shared" ref="BI9:BI39" si="15">IF(OR(AJ9="有給休暇",AJ9="欠勤",AJ9="振替休日",AJ9="特別休暇"),1,0)</f>
        <v>0</v>
      </c>
      <c r="BJ9" s="11">
        <f t="shared" ref="BJ9:BJ39" si="16">IF(AJ9="振替予定休日出勤",1,0)</f>
        <v>0</v>
      </c>
      <c r="BK9" s="80">
        <f t="shared" ref="BK9:BK39" si="17">IF(AJ9="休日出勤",IF(C9="日",1,2),0)</f>
        <v>0</v>
      </c>
      <c r="BL9" s="16">
        <f t="shared" ref="BL9:BL39" si="18">IFERROR(IF(BI9=1,TIME(0,0,0),TIME(E9,G9,0)),TIME(0,0,0))</f>
        <v>0.5</v>
      </c>
      <c r="BM9" s="31">
        <f t="shared" ref="BM9:BM39" si="19">IFERROR(IF(BI9=1,TIME(0,0,0),IF(E9&gt;I9,TIME(I9,K9,0)+1,TIME(I9,K9,0))),TIME(0,0,0))</f>
        <v>0.7395833333321207</v>
      </c>
      <c r="BN9" s="81">
        <f t="shared" ref="BN9:BQ9" si="20">TEXT(MAX(0,MIN($BM9,BN$7)-MAX($BL9,BN$6)),"h:mm")*24</f>
        <v>0</v>
      </c>
      <c r="BO9" s="82">
        <f t="shared" si="20"/>
        <v>1</v>
      </c>
      <c r="BP9" s="82">
        <f t="shared" si="20"/>
        <v>4.75</v>
      </c>
      <c r="BQ9" s="82">
        <f t="shared" si="20"/>
        <v>0</v>
      </c>
      <c r="BR9" s="82">
        <f t="shared" ref="BR9:BR39" si="21">TEXT(MAX(0,MIN($BM9,BR$7)-MAX($BL9,BR$6)),"h:mm")*24-BQ9</f>
        <v>0</v>
      </c>
      <c r="BS9" s="82">
        <f t="shared" ref="BS9:BT9" si="22">TEXT(MAX(0,MIN($BM9,BS$7)-MAX($BL9,BS$6)),"h:mm")*24</f>
        <v>0</v>
      </c>
      <c r="BT9" s="83">
        <f t="shared" si="22"/>
        <v>0</v>
      </c>
      <c r="BU9" s="82">
        <f t="shared" ref="BU9:BU39" si="23">IF(OR(BH9=1,BJ9=1),BN9+BP9,0)</f>
        <v>4.75</v>
      </c>
      <c r="BV9" s="82">
        <f t="shared" ref="BV9:BV39" si="24">IF(BU9&gt;0,IF(AJ9="遅刻（電車遅延）",0,$BH$3-BU9),0)</f>
        <v>3</v>
      </c>
      <c r="BW9" s="82">
        <f t="shared" ref="BW9:BW39" si="25">IF(AND(BU9&gt;0,BV9=0),IF(MIN($BP$7,BM9)=BM9,($BP$7-BM9)*24,0),0)</f>
        <v>0</v>
      </c>
      <c r="BX9" s="82">
        <f t="shared" ref="BX9:BX39" si="26">MOD(ROUND(BV9+BW9,2),ROUND($BX$7,2))</f>
        <v>0</v>
      </c>
      <c r="BY9" s="82">
        <f t="shared" ref="BY9:BY39" si="27">IF(OR(BH9=1,BJ9=1),BR9+BT9,IF(C9="日",0,BN9+BP9+BR9+BT9))</f>
        <v>0</v>
      </c>
      <c r="BZ9" s="84">
        <f t="shared" ref="BZ9:BZ39" si="28">IF(OR(BH9=1,BJ9=1),BS9,0)</f>
        <v>0</v>
      </c>
      <c r="CA9" s="84">
        <f t="shared" ref="CA9:CA39" si="29">IF(AND(C9="日",BJ9=0),BN9+BP9+BR9+BT9,0)</f>
        <v>0</v>
      </c>
      <c r="CB9" s="84">
        <f t="shared" ref="CB9:CB39" si="30">IF(AND(C9="日",BJ9=0),BS9,0)</f>
        <v>0</v>
      </c>
      <c r="CC9" s="82">
        <f t="shared" ref="CC9:CC39" si="31">MOD(ROUND(BY9+BZ9+CA9+CB9,2),ROUND($CC$7,2))</f>
        <v>0</v>
      </c>
      <c r="CD9" s="11">
        <f t="shared" ref="CD9:CD39" si="32">IF(OR(AND(AJ9="直行",AN9="直帰"),AND(AJ9="",AN9="直帰"),AND(AJ9="直行",AN9="")),1,0)</f>
        <v>0</v>
      </c>
      <c r="CE9" s="11"/>
      <c r="CF9" s="11"/>
      <c r="CG9" s="11"/>
      <c r="CH9" s="11"/>
    </row>
    <row r="10" ht="16.5" customHeight="1" spans="1:86" x14ac:dyDescent="0.25">
      <c r="A10" s="62">
        <v>22</v>
      </c>
      <c r="B10" s="55"/>
      <c r="C10" s="85" t="s">
        <v>74</v>
      </c>
      <c r="D10" s="55"/>
      <c r="E10" s="64"/>
      <c r="F10" s="65"/>
      <c r="G10" s="66"/>
      <c r="H10" s="55"/>
      <c r="I10" s="64"/>
      <c r="J10" s="65"/>
      <c r="K10" s="66"/>
      <c r="L10" s="55"/>
      <c r="M10" s="67"/>
      <c r="N10" s="55"/>
      <c r="O10" s="68"/>
      <c r="P10" s="26"/>
      <c r="Q10" s="26"/>
      <c r="R10" s="55"/>
      <c r="S10" s="68"/>
      <c r="T10" s="26"/>
      <c r="U10" s="26"/>
      <c r="V10" s="55"/>
      <c r="W10" s="68"/>
      <c r="X10" s="26"/>
      <c r="Y10" s="26"/>
      <c r="Z10" s="55"/>
      <c r="AA10" s="68"/>
      <c r="AB10" s="26"/>
      <c r="AC10" s="26"/>
      <c r="AD10" s="55"/>
      <c r="AE10" s="69"/>
      <c r="AF10" s="26"/>
      <c r="AG10" s="26"/>
      <c r="AH10" s="26"/>
      <c r="AI10" s="26"/>
      <c r="AJ10" s="70"/>
      <c r="AK10" s="26"/>
      <c r="AL10" s="26"/>
      <c r="AM10" s="71"/>
      <c r="AN10" s="72"/>
      <c r="AO10" s="55"/>
      <c r="AP10" s="73">
        <f t="shared" si="10"/>
      </c>
      <c r="AQ10" s="86" t="s">
        <v>29</v>
      </c>
      <c r="AR10" s="37"/>
      <c r="AS10" s="75">
        <v>0.5</v>
      </c>
      <c r="AT10" s="26"/>
      <c r="AU10" s="26"/>
      <c r="AV10" s="76" t="s">
        <v>36</v>
      </c>
      <c r="AW10" s="75">
        <v>0.5416666666678793</v>
      </c>
      <c r="AX10" s="26"/>
      <c r="AY10" s="26"/>
      <c r="AZ10" s="25" t="s">
        <v>75</v>
      </c>
      <c r="BA10" s="87">
        <v>60</v>
      </c>
      <c r="BB10" s="88" t="s">
        <v>55</v>
      </c>
      <c r="BC10" s="3"/>
      <c r="BD10" s="3">
        <f t="shared" si="11"/>
        <v>0</v>
      </c>
      <c r="BE10" s="11">
        <f t="shared" si="12"/>
        <v>2026</v>
      </c>
      <c r="BF10" s="11">
        <f t="shared" si="13"/>
        <v>8</v>
      </c>
      <c r="BG10" s="11" t="str">
        <f t="shared" si="14"/>
        <v>2026/8/22</v>
      </c>
      <c r="BH10" s="79">
        <f>IF(OR(COUNTIF(祝祭日!$A:$A,$BG10)&gt;=1,OR(C10="土",C10="日",C10="",BD10=1)),0,1)</f>
        <v>0</v>
      </c>
      <c r="BI10" s="11">
        <f t="shared" si="15"/>
        <v>0</v>
      </c>
      <c r="BJ10" s="11">
        <f t="shared" si="16"/>
        <v>0</v>
      </c>
      <c r="BK10" s="80">
        <f t="shared" si="17"/>
        <v>0</v>
      </c>
      <c r="BL10" s="16">
        <f t="shared" si="18"/>
        <v>0</v>
      </c>
      <c r="BM10" s="31">
        <f t="shared" si="19"/>
        <v>0</v>
      </c>
      <c r="BN10" s="81">
        <f t="shared" ref="BN10:BQ10" si="33">TEXT(MAX(0,MIN($BM10,BN$7)-MAX($BL10,BN$6)),"h:mm")*24</f>
        <v>0</v>
      </c>
      <c r="BO10" s="82">
        <f t="shared" si="33"/>
        <v>0</v>
      </c>
      <c r="BP10" s="82">
        <f t="shared" si="33"/>
        <v>0</v>
      </c>
      <c r="BQ10" s="82">
        <f t="shared" si="33"/>
        <v>0</v>
      </c>
      <c r="BR10" s="82">
        <f t="shared" si="21"/>
        <v>0</v>
      </c>
      <c r="BS10" s="82">
        <f t="shared" ref="BS10:BT10" si="34">TEXT(MAX(0,MIN($BM10,BS$7)-MAX($BL10,BS$6)),"h:mm")*24</f>
        <v>0</v>
      </c>
      <c r="BT10" s="83">
        <f t="shared" si="34"/>
        <v>0</v>
      </c>
      <c r="BU10" s="82">
        <f t="shared" si="23"/>
        <v>0</v>
      </c>
      <c r="BV10" s="82">
        <f t="shared" si="24"/>
        <v>0</v>
      </c>
      <c r="BW10" s="82">
        <f t="shared" si="25"/>
        <v>0</v>
      </c>
      <c r="BX10" s="82">
        <f t="shared" si="26"/>
        <v>0</v>
      </c>
      <c r="BY10" s="82">
        <f t="shared" si="27"/>
        <v>0</v>
      </c>
      <c r="BZ10" s="84">
        <f t="shared" si="28"/>
        <v>0</v>
      </c>
      <c r="CA10" s="84">
        <f t="shared" si="29"/>
        <v>0</v>
      </c>
      <c r="CB10" s="84">
        <f t="shared" si="30"/>
        <v>0</v>
      </c>
      <c r="CC10" s="82">
        <f t="shared" si="31"/>
        <v>0</v>
      </c>
      <c r="CD10" s="11">
        <f t="shared" si="32"/>
        <v>0</v>
      </c>
      <c r="CE10" s="11"/>
      <c r="CF10" s="11"/>
      <c r="CG10" s="11"/>
      <c r="CH10" s="11"/>
    </row>
    <row r="11" ht="16.5" customHeight="1" spans="1:90" x14ac:dyDescent="0.25">
      <c r="A11" s="62">
        <v>23</v>
      </c>
      <c r="B11" s="55"/>
      <c r="C11" s="85" t="s">
        <v>35</v>
      </c>
      <c r="D11" s="55"/>
      <c r="E11" s="64"/>
      <c r="F11" s="65"/>
      <c r="G11" s="66"/>
      <c r="H11" s="55"/>
      <c r="I11" s="64"/>
      <c r="J11" s="65"/>
      <c r="K11" s="66"/>
      <c r="L11" s="55"/>
      <c r="M11" s="67"/>
      <c r="N11" s="55"/>
      <c r="O11" s="68"/>
      <c r="P11" s="26"/>
      <c r="Q11" s="26"/>
      <c r="R11" s="55"/>
      <c r="S11" s="68"/>
      <c r="T11" s="26"/>
      <c r="U11" s="26"/>
      <c r="V11" s="55"/>
      <c r="W11" s="68"/>
      <c r="X11" s="26"/>
      <c r="Y11" s="26"/>
      <c r="Z11" s="55"/>
      <c r="AA11" s="68"/>
      <c r="AB11" s="26"/>
      <c r="AC11" s="26"/>
      <c r="AD11" s="55"/>
      <c r="AE11" s="69"/>
      <c r="AF11" s="26"/>
      <c r="AG11" s="26"/>
      <c r="AH11" s="26"/>
      <c r="AI11" s="26"/>
      <c r="AJ11" s="70"/>
      <c r="AK11" s="26"/>
      <c r="AL11" s="26"/>
      <c r="AM11" s="71"/>
      <c r="AN11" s="72"/>
      <c r="AO11" s="55"/>
      <c r="AP11" s="73">
        <f t="shared" si="10"/>
      </c>
      <c r="AQ11" s="49"/>
      <c r="AR11" s="44"/>
      <c r="AS11" s="75">
        <v>0.7395833333321207</v>
      </c>
      <c r="AT11" s="26"/>
      <c r="AU11" s="26"/>
      <c r="AV11" s="76" t="s">
        <v>36</v>
      </c>
      <c r="AW11" s="75">
        <v>0.75</v>
      </c>
      <c r="AX11" s="26"/>
      <c r="AY11" s="26"/>
      <c r="AZ11" s="25" t="s">
        <v>75</v>
      </c>
      <c r="BA11" s="87">
        <v>15</v>
      </c>
      <c r="BB11" s="88" t="s">
        <v>55</v>
      </c>
      <c r="BC11" s="3"/>
      <c r="BD11" s="3">
        <f t="shared" si="11"/>
        <v>0</v>
      </c>
      <c r="BE11" s="11">
        <f t="shared" si="12"/>
        <v>2026</v>
      </c>
      <c r="BF11" s="11">
        <f t="shared" si="13"/>
        <v>8</v>
      </c>
      <c r="BG11" s="11" t="str">
        <f t="shared" si="14"/>
        <v>2026/8/23</v>
      </c>
      <c r="BH11" s="79">
        <f>IF(OR(COUNTIF(祝祭日!$A:$A,$BG11)&gt;=1,OR(C11="土",C11="日",C11="",BD11=1)),0,1)</f>
        <v>0</v>
      </c>
      <c r="BI11" s="11">
        <f t="shared" si="15"/>
        <v>0</v>
      </c>
      <c r="BJ11" s="11">
        <f t="shared" si="16"/>
        <v>0</v>
      </c>
      <c r="BK11" s="80">
        <f t="shared" si="17"/>
        <v>0</v>
      </c>
      <c r="BL11" s="16">
        <f t="shared" si="18"/>
        <v>0</v>
      </c>
      <c r="BM11" s="31">
        <f t="shared" si="19"/>
        <v>0</v>
      </c>
      <c r="BN11" s="81">
        <f t="shared" ref="BN11:BQ11" si="35">TEXT(MAX(0,MIN($BM11,BN$7)-MAX($BL11,BN$6)),"h:mm")*24</f>
        <v>0</v>
      </c>
      <c r="BO11" s="82">
        <f t="shared" si="35"/>
        <v>0</v>
      </c>
      <c r="BP11" s="82">
        <f t="shared" si="35"/>
        <v>0</v>
      </c>
      <c r="BQ11" s="82">
        <f t="shared" si="35"/>
        <v>0</v>
      </c>
      <c r="BR11" s="82">
        <f t="shared" si="21"/>
        <v>0</v>
      </c>
      <c r="BS11" s="82">
        <f t="shared" ref="BS11:BT11" si="36">TEXT(MAX(0,MIN($BM11,BS$7)-MAX($BL11,BS$6)),"h:mm")*24</f>
        <v>0</v>
      </c>
      <c r="BT11" s="83">
        <f t="shared" si="36"/>
        <v>0</v>
      </c>
      <c r="BU11" s="82">
        <f t="shared" si="23"/>
        <v>0</v>
      </c>
      <c r="BV11" s="82">
        <f t="shared" si="24"/>
        <v>0</v>
      </c>
      <c r="BW11" s="82">
        <f t="shared" si="25"/>
        <v>0</v>
      </c>
      <c r="BX11" s="82">
        <f t="shared" si="26"/>
        <v>0</v>
      </c>
      <c r="BY11" s="82">
        <f t="shared" si="27"/>
        <v>0</v>
      </c>
      <c r="BZ11" s="84">
        <f t="shared" si="28"/>
        <v>0</v>
      </c>
      <c r="CA11" s="84">
        <f t="shared" si="29"/>
        <v>0</v>
      </c>
      <c r="CB11" s="84">
        <f t="shared" si="30"/>
        <v>0</v>
      </c>
      <c r="CC11" s="82">
        <f t="shared" si="31"/>
        <v>0</v>
      </c>
      <c r="CD11" s="11">
        <f t="shared" si="32"/>
        <v>0</v>
      </c>
      <c r="CE11" s="11"/>
      <c r="CF11" s="11"/>
      <c r="CG11" s="11"/>
      <c r="CH11" s="11"/>
      <c r="CK11" s="63" t="s">
        <v>76</v>
      </c>
      <c r="CL11" s="55"/>
    </row>
    <row r="12" ht="16.5" customHeight="1" spans="1:90" x14ac:dyDescent="0.25">
      <c r="A12" s="62">
        <v>24</v>
      </c>
      <c r="B12" s="55"/>
      <c r="C12" s="63" t="s">
        <v>34</v>
      </c>
      <c r="D12" s="55"/>
      <c r="E12" s="64"/>
      <c r="F12" s="65"/>
      <c r="G12" s="66"/>
      <c r="H12" s="55"/>
      <c r="I12" s="64"/>
      <c r="J12" s="65"/>
      <c r="K12" s="66"/>
      <c r="L12" s="55"/>
      <c r="M12" s="89">
        <f t="shared" ref="M12" si="37">IF(E12="","",IF((BO12+BQ12)=0,"",(BO12+BQ12)*60))</f>
        <v>60</v>
      </c>
      <c r="N12" s="55"/>
      <c r="O12" s="68">
        <f t="shared" ref="O12" si="38">IF(E12&lt;&gt;"",IF(BU12&lt;&gt;0,BU12/24,""),"")</f>
        <v>0.3229166666678793</v>
      </c>
      <c r="P12" s="26"/>
      <c r="Q12" s="26"/>
      <c r="R12" s="55"/>
      <c r="S12" s="68">
        <f t="shared" si="7"/>
      </c>
      <c r="T12" s="26"/>
      <c r="U12" s="26"/>
      <c r="V12" s="55"/>
      <c r="W12" s="68">
        <f t="shared" si="8"/>
      </c>
      <c r="X12" s="26"/>
      <c r="Y12" s="26"/>
      <c r="Z12" s="55"/>
      <c r="AA12" s="68">
        <f t="shared" si="9"/>
      </c>
      <c r="AB12" s="26"/>
      <c r="AC12" s="26"/>
      <c r="AD12" s="55"/>
      <c r="AE12" s="69"/>
      <c r="AF12" s="26"/>
      <c r="AG12" s="26"/>
      <c r="AH12" s="26"/>
      <c r="AI12" s="26"/>
      <c r="AJ12" s="70"/>
      <c r="AK12" s="26"/>
      <c r="AL12" s="26"/>
      <c r="AM12" s="71"/>
      <c r="AN12" s="72"/>
      <c r="AO12" s="55"/>
      <c r="AP12" s="73">
        <f t="shared" si="10"/>
      </c>
      <c r="AQ12" s="49"/>
      <c r="AR12" s="44"/>
      <c r="AS12" s="90"/>
      <c r="AT12" s="26"/>
      <c r="AU12" s="26"/>
      <c r="AV12" s="76" t="s">
        <v>36</v>
      </c>
      <c r="AW12" s="90"/>
      <c r="AX12" s="26"/>
      <c r="AY12" s="26"/>
      <c r="AZ12" s="25" t="s">
        <v>75</v>
      </c>
      <c r="BA12" s="91"/>
      <c r="BB12" s="55"/>
      <c r="BC12" s="3"/>
      <c r="BD12" s="3">
        <f t="shared" si="11"/>
        <v>0</v>
      </c>
      <c r="BE12" s="11">
        <f t="shared" si="12"/>
        <v>2026</v>
      </c>
      <c r="BF12" s="11">
        <f t="shared" si="13"/>
        <v>8</v>
      </c>
      <c r="BG12" s="11" t="str">
        <f t="shared" si="14"/>
        <v>2026/8/24</v>
      </c>
      <c r="BH12" s="79">
        <f>IF(OR(COUNTIF(祝祭日!$A:$A,$BG12)&gt;=1,OR(C12="土",C12="日",C12="",BD12=1)),0,1)</f>
        <v>1</v>
      </c>
      <c r="BI12" s="11">
        <f t="shared" si="15"/>
        <v>0</v>
      </c>
      <c r="BJ12" s="11">
        <f t="shared" si="16"/>
        <v>0</v>
      </c>
      <c r="BK12" s="80">
        <f t="shared" si="17"/>
        <v>0</v>
      </c>
      <c r="BL12" s="16">
        <f t="shared" si="18"/>
        <v>0.375</v>
      </c>
      <c r="BM12" s="31">
        <f t="shared" si="19"/>
        <v>0.7395833333321207</v>
      </c>
      <c r="BN12" s="81">
        <f t="shared" ref="BN12:BQ12" si="39">TEXT(MAX(0,MIN($BM12,BN$7)-MAX($BL12,BN$6)),"h:mm")*24</f>
        <v>3</v>
      </c>
      <c r="BO12" s="82">
        <f t="shared" si="39"/>
        <v>1</v>
      </c>
      <c r="BP12" s="82">
        <f t="shared" si="39"/>
        <v>4.75</v>
      </c>
      <c r="BQ12" s="82">
        <f t="shared" si="39"/>
        <v>0</v>
      </c>
      <c r="BR12" s="82">
        <f t="shared" si="21"/>
        <v>0</v>
      </c>
      <c r="BS12" s="82">
        <f t="shared" ref="BS12:BT12" si="40">TEXT(MAX(0,MIN($BM12,BS$7)-MAX($BL12,BS$6)),"h:mm")*24</f>
        <v>0</v>
      </c>
      <c r="BT12" s="83">
        <f t="shared" si="40"/>
        <v>0</v>
      </c>
      <c r="BU12" s="82">
        <f t="shared" si="23"/>
        <v>7.75</v>
      </c>
      <c r="BV12" s="82">
        <f t="shared" si="24"/>
        <v>0</v>
      </c>
      <c r="BW12" s="82">
        <f t="shared" si="25"/>
        <v>0</v>
      </c>
      <c r="BX12" s="82">
        <f t="shared" si="26"/>
        <v>0</v>
      </c>
      <c r="BY12" s="82">
        <f t="shared" si="27"/>
        <v>0</v>
      </c>
      <c r="BZ12" s="84">
        <f t="shared" si="28"/>
        <v>0</v>
      </c>
      <c r="CA12" s="84">
        <f t="shared" si="29"/>
        <v>0</v>
      </c>
      <c r="CB12" s="84">
        <f t="shared" si="30"/>
        <v>0</v>
      </c>
      <c r="CC12" s="82">
        <f t="shared" si="31"/>
        <v>0</v>
      </c>
      <c r="CD12" s="11">
        <f t="shared" si="32"/>
        <v>0</v>
      </c>
      <c r="CE12" s="11"/>
      <c r="CF12" s="11"/>
      <c r="CG12" s="11"/>
      <c r="CH12" s="11"/>
      <c r="CK12" s="63" t="s">
        <v>77</v>
      </c>
      <c r="CL12" s="55"/>
    </row>
    <row r="13" ht="16.5" customHeight="1" spans="1:90" x14ac:dyDescent="0.25">
      <c r="A13" s="62">
        <v>25</v>
      </c>
      <c r="B13" s="55"/>
      <c r="C13" s="63" t="s">
        <v>76</v>
      </c>
      <c r="D13" s="55"/>
      <c r="E13" s="64"/>
      <c r="F13" s="65"/>
      <c r="G13" s="66"/>
      <c r="H13" s="55"/>
      <c r="I13" s="64"/>
      <c r="J13" s="65"/>
      <c r="K13" s="66"/>
      <c r="L13" s="55"/>
      <c r="M13" s="89">
        <f t="shared" ref="M13:M14" si="41">IF(E13="","",IF((BO13+BQ13)=0,"",(BO13+BQ13)*60))</f>
        <v>60</v>
      </c>
      <c r="N13" s="55"/>
      <c r="O13" s="68">
        <f t="shared" ref="O13:O14" si="42">IF(E13&lt;&gt;"",IF(BU13&lt;&gt;0,BU13/24,""),"")</f>
        <v>0.3229166666678793</v>
      </c>
      <c r="P13" s="26"/>
      <c r="Q13" s="26"/>
      <c r="R13" s="55"/>
      <c r="S13" s="68">
        <f t="shared" si="7"/>
      </c>
      <c r="T13" s="26"/>
      <c r="U13" s="26"/>
      <c r="V13" s="55"/>
      <c r="W13" s="68">
        <f t="shared" si="8"/>
      </c>
      <c r="X13" s="26"/>
      <c r="Y13" s="26"/>
      <c r="Z13" s="55"/>
      <c r="AA13" s="68">
        <f t="shared" si="9"/>
      </c>
      <c r="AB13" s="26"/>
      <c r="AC13" s="26"/>
      <c r="AD13" s="55"/>
      <c r="AE13" s="69"/>
      <c r="AF13" s="26"/>
      <c r="AG13" s="26"/>
      <c r="AH13" s="26"/>
      <c r="AI13" s="26"/>
      <c r="AJ13" s="70"/>
      <c r="AK13" s="26"/>
      <c r="AL13" s="26"/>
      <c r="AM13" s="71"/>
      <c r="AN13" s="72"/>
      <c r="AO13" s="55"/>
      <c r="AP13" s="73">
        <f t="shared" si="10"/>
      </c>
      <c r="AQ13" s="49"/>
      <c r="AR13" s="44"/>
      <c r="AS13" s="90"/>
      <c r="AT13" s="26"/>
      <c r="AU13" s="26"/>
      <c r="AV13" s="76" t="s">
        <v>36</v>
      </c>
      <c r="AW13" s="90"/>
      <c r="AX13" s="26"/>
      <c r="AY13" s="26"/>
      <c r="AZ13" s="25" t="s">
        <v>75</v>
      </c>
      <c r="BA13" s="91"/>
      <c r="BB13" s="55"/>
      <c r="BC13" s="3"/>
      <c r="BD13" s="3">
        <f t="shared" si="11"/>
        <v>0</v>
      </c>
      <c r="BE13" s="11">
        <f t="shared" si="12"/>
        <v>2026</v>
      </c>
      <c r="BF13" s="11">
        <f t="shared" si="13"/>
        <v>8</v>
      </c>
      <c r="BG13" s="11" t="str">
        <f t="shared" si="14"/>
        <v>2026/8/25</v>
      </c>
      <c r="BH13" s="79">
        <f>IF(OR(COUNTIF(祝祭日!$A:$A,$BG13)&gt;=1,OR(C13="土",C13="日",C13="",BD13=1)),0,1)</f>
        <v>1</v>
      </c>
      <c r="BI13" s="11">
        <f t="shared" si="15"/>
        <v>0</v>
      </c>
      <c r="BJ13" s="11">
        <f t="shared" si="16"/>
        <v>0</v>
      </c>
      <c r="BK13" s="80">
        <f t="shared" si="17"/>
        <v>0</v>
      </c>
      <c r="BL13" s="16">
        <f t="shared" si="18"/>
        <v>0.375</v>
      </c>
      <c r="BM13" s="31">
        <f t="shared" si="19"/>
        <v>0.7395833333321207</v>
      </c>
      <c r="BN13" s="81">
        <f t="shared" ref="BN13:BQ13" si="43">TEXT(MAX(0,MIN($BM13,BN$7)-MAX($BL13,BN$6)),"h:mm")*24</f>
        <v>3</v>
      </c>
      <c r="BO13" s="82">
        <f t="shared" si="43"/>
        <v>1</v>
      </c>
      <c r="BP13" s="82">
        <f t="shared" si="43"/>
        <v>4.75</v>
      </c>
      <c r="BQ13" s="82">
        <f t="shared" si="43"/>
        <v>0</v>
      </c>
      <c r="BR13" s="82">
        <f t="shared" si="21"/>
        <v>0</v>
      </c>
      <c r="BS13" s="82">
        <f t="shared" ref="BS13:BT13" si="44">TEXT(MAX(0,MIN($BM13,BS$7)-MAX($BL13,BS$6)),"h:mm")*24</f>
        <v>0</v>
      </c>
      <c r="BT13" s="83">
        <f t="shared" si="44"/>
        <v>0</v>
      </c>
      <c r="BU13" s="82">
        <f t="shared" si="23"/>
        <v>7.75</v>
      </c>
      <c r="BV13" s="82">
        <f t="shared" si="24"/>
        <v>0</v>
      </c>
      <c r="BW13" s="82">
        <f t="shared" si="25"/>
        <v>0</v>
      </c>
      <c r="BX13" s="82">
        <f t="shared" si="26"/>
        <v>0</v>
      </c>
      <c r="BY13" s="82">
        <f t="shared" si="27"/>
        <v>0</v>
      </c>
      <c r="BZ13" s="84">
        <f t="shared" si="28"/>
        <v>0</v>
      </c>
      <c r="CA13" s="84">
        <f t="shared" si="29"/>
        <v>0</v>
      </c>
      <c r="CB13" s="84">
        <f t="shared" si="30"/>
        <v>0</v>
      </c>
      <c r="CC13" s="82">
        <f t="shared" si="31"/>
        <v>0</v>
      </c>
      <c r="CD13" s="11">
        <f t="shared" si="32"/>
        <v>0</v>
      </c>
      <c r="CE13" s="11"/>
      <c r="CF13" s="11"/>
      <c r="CG13" s="11"/>
      <c r="CH13" s="11"/>
      <c r="CK13" s="63" t="s">
        <v>78</v>
      </c>
      <c r="CL13" s="55"/>
    </row>
    <row r="14" ht="16.5" customHeight="1" spans="1:90" x14ac:dyDescent="0.25">
      <c r="A14" s="62">
        <v>26</v>
      </c>
      <c r="B14" s="55"/>
      <c r="C14" s="63" t="s">
        <v>77</v>
      </c>
      <c r="D14" s="55"/>
      <c r="E14" s="64"/>
      <c r="F14" s="65"/>
      <c r="G14" s="66"/>
      <c r="H14" s="55"/>
      <c r="I14" s="64"/>
      <c r="J14" s="65"/>
      <c r="K14" s="66"/>
      <c r="L14" s="55"/>
      <c r="M14" s="89">
        <f t="shared" si="41"/>
        <v>75</v>
      </c>
      <c r="N14" s="55"/>
      <c r="O14" s="68">
        <f t="shared" si="42"/>
        <v>0.3229166666678793</v>
      </c>
      <c r="P14" s="26"/>
      <c r="Q14" s="26"/>
      <c r="R14" s="55"/>
      <c r="S14" s="68">
        <f t="shared" si="7"/>
        <v>0.020833333332120674</v>
      </c>
      <c r="T14" s="26"/>
      <c r="U14" s="26"/>
      <c r="V14" s="55"/>
      <c r="W14" s="68">
        <f t="shared" si="8"/>
      </c>
      <c r="X14" s="26"/>
      <c r="Y14" s="26"/>
      <c r="Z14" s="55"/>
      <c r="AA14" s="68">
        <f t="shared" si="9"/>
      </c>
      <c r="AB14" s="26"/>
      <c r="AC14" s="26"/>
      <c r="AD14" s="55"/>
      <c r="AE14" s="69"/>
      <c r="AF14" s="26"/>
      <c r="AG14" s="26"/>
      <c r="AH14" s="26"/>
      <c r="AI14" s="26"/>
      <c r="AJ14" s="70"/>
      <c r="AK14" s="26"/>
      <c r="AL14" s="26"/>
      <c r="AM14" s="71"/>
      <c r="AN14" s="72"/>
      <c r="AO14" s="55"/>
      <c r="AP14" s="73" t="str">
        <f t="shared" si="10"/>
        <v>申</v>
      </c>
      <c r="AQ14" s="49"/>
      <c r="AR14" s="44"/>
      <c r="AS14" s="90"/>
      <c r="AT14" s="26"/>
      <c r="AU14" s="26"/>
      <c r="AV14" s="76" t="s">
        <v>36</v>
      </c>
      <c r="AW14" s="90"/>
      <c r="AX14" s="26"/>
      <c r="AY14" s="26"/>
      <c r="AZ14" s="25" t="s">
        <v>75</v>
      </c>
      <c r="BA14" s="91"/>
      <c r="BB14" s="55"/>
      <c r="BC14" s="3"/>
      <c r="BD14" s="3">
        <f t="shared" si="11"/>
        <v>0</v>
      </c>
      <c r="BE14" s="11">
        <f t="shared" si="12"/>
        <v>2026</v>
      </c>
      <c r="BF14" s="11">
        <f t="shared" si="13"/>
        <v>8</v>
      </c>
      <c r="BG14" s="11" t="str">
        <f t="shared" si="14"/>
        <v>2026/8/26</v>
      </c>
      <c r="BH14" s="79">
        <f>IF(OR(COUNTIF(祝祭日!$A:$A,$BG14)&gt;=1,OR(C14="土",C14="日",C14="",BD14=1)),0,1)</f>
        <v>1</v>
      </c>
      <c r="BI14" s="11">
        <f t="shared" si="15"/>
        <v>0</v>
      </c>
      <c r="BJ14" s="11">
        <f t="shared" si="16"/>
        <v>0</v>
      </c>
      <c r="BK14" s="80">
        <f t="shared" si="17"/>
        <v>0</v>
      </c>
      <c r="BL14" s="16">
        <f t="shared" si="18"/>
        <v>0.375</v>
      </c>
      <c r="BM14" s="31">
        <f t="shared" si="19"/>
        <v>0.7708333333321207</v>
      </c>
      <c r="BN14" s="81">
        <f t="shared" ref="BN14:BQ14" si="45">TEXT(MAX(0,MIN($BM14,BN$7)-MAX($BL14,BN$6)),"h:mm")*24</f>
        <v>3</v>
      </c>
      <c r="BO14" s="82">
        <f t="shared" si="45"/>
        <v>1</v>
      </c>
      <c r="BP14" s="82">
        <f t="shared" si="45"/>
        <v>4.75</v>
      </c>
      <c r="BQ14" s="82">
        <f t="shared" si="45"/>
        <v>0.25</v>
      </c>
      <c r="BR14" s="82">
        <f t="shared" si="21"/>
        <v>0.5</v>
      </c>
      <c r="BS14" s="82">
        <f t="shared" ref="BS14:BT14" si="46">TEXT(MAX(0,MIN($BM14,BS$7)-MAX($BL14,BS$6)),"h:mm")*24</f>
        <v>0</v>
      </c>
      <c r="BT14" s="83">
        <f t="shared" si="46"/>
        <v>0</v>
      </c>
      <c r="BU14" s="82">
        <f t="shared" si="23"/>
        <v>7.75</v>
      </c>
      <c r="BV14" s="82">
        <f t="shared" si="24"/>
        <v>0</v>
      </c>
      <c r="BW14" s="82">
        <f t="shared" si="25"/>
        <v>0</v>
      </c>
      <c r="BX14" s="82">
        <f t="shared" si="26"/>
        <v>0</v>
      </c>
      <c r="BY14" s="82">
        <f t="shared" si="27"/>
        <v>0.5</v>
      </c>
      <c r="BZ14" s="84">
        <f t="shared" si="28"/>
        <v>0</v>
      </c>
      <c r="CA14" s="84">
        <f t="shared" si="29"/>
        <v>0</v>
      </c>
      <c r="CB14" s="84">
        <f t="shared" si="30"/>
        <v>0</v>
      </c>
      <c r="CC14" s="82">
        <f t="shared" si="31"/>
        <v>0</v>
      </c>
      <c r="CD14" s="11">
        <f t="shared" si="32"/>
        <v>0</v>
      </c>
      <c r="CE14" s="11"/>
      <c r="CF14" s="11"/>
      <c r="CG14" s="11"/>
      <c r="CH14" s="11"/>
      <c r="CK14" s="63" t="s">
        <v>73</v>
      </c>
      <c r="CL14" s="55"/>
    </row>
    <row r="15" ht="16.5" customHeight="1" spans="1:90" x14ac:dyDescent="0.25">
      <c r="A15" s="62">
        <v>27</v>
      </c>
      <c r="B15" s="55"/>
      <c r="C15" s="63" t="s">
        <v>78</v>
      </c>
      <c r="D15" s="55"/>
      <c r="E15" s="64"/>
      <c r="F15" s="65"/>
      <c r="G15" s="66"/>
      <c r="H15" s="55"/>
      <c r="I15" s="64"/>
      <c r="J15" s="65"/>
      <c r="K15" s="66"/>
      <c r="L15" s="55"/>
      <c r="M15" s="67">
        <f t="shared" ref="M15:M16" si="47">IF(E15="","",IF((BO15+BQ15)=0,"",(BO15+BQ15)*60))</f>
        <v>60</v>
      </c>
      <c r="N15" s="55"/>
      <c r="O15" s="68">
        <f t="shared" ref="O15:O16" si="48">IF(E15&lt;&gt;"",IF(BU15&lt;&gt;0,BU15/24,""),"")</f>
        <v>0.3229166666678793</v>
      </c>
      <c r="P15" s="26"/>
      <c r="Q15" s="26"/>
      <c r="R15" s="55"/>
      <c r="S15" s="68">
        <f t="shared" si="7"/>
      </c>
      <c r="T15" s="26"/>
      <c r="U15" s="26"/>
      <c r="V15" s="55"/>
      <c r="W15" s="68">
        <f t="shared" si="8"/>
      </c>
      <c r="X15" s="26"/>
      <c r="Y15" s="26"/>
      <c r="Z15" s="55"/>
      <c r="AA15" s="68">
        <f t="shared" si="9"/>
      </c>
      <c r="AB15" s="26"/>
      <c r="AC15" s="26"/>
      <c r="AD15" s="55"/>
      <c r="AE15" s="69"/>
      <c r="AF15" s="26"/>
      <c r="AG15" s="26"/>
      <c r="AH15" s="26"/>
      <c r="AI15" s="26"/>
      <c r="AJ15" s="70"/>
      <c r="AK15" s="26"/>
      <c r="AL15" s="26"/>
      <c r="AM15" s="71"/>
      <c r="AN15" s="72"/>
      <c r="AO15" s="55"/>
      <c r="AP15" s="73">
        <f t="shared" si="10"/>
      </c>
      <c r="AQ15" s="47"/>
      <c r="AR15" s="48"/>
      <c r="AS15" s="90"/>
      <c r="AT15" s="26"/>
      <c r="AU15" s="26"/>
      <c r="AV15" s="76" t="s">
        <v>36</v>
      </c>
      <c r="AW15" s="90"/>
      <c r="AX15" s="26"/>
      <c r="AY15" s="26"/>
      <c r="AZ15" s="25" t="s">
        <v>75</v>
      </c>
      <c r="BA15" s="91"/>
      <c r="BB15" s="55"/>
      <c r="BC15" s="3"/>
      <c r="BD15" s="3">
        <f t="shared" si="11"/>
        <v>0</v>
      </c>
      <c r="BE15" s="11">
        <f t="shared" si="12"/>
        <v>2026</v>
      </c>
      <c r="BF15" s="11">
        <f t="shared" si="13"/>
        <v>8</v>
      </c>
      <c r="BG15" s="11" t="str">
        <f t="shared" si="14"/>
        <v>2026/8/27</v>
      </c>
      <c r="BH15" s="79">
        <f>IF(OR(COUNTIF(祝祭日!$A:$A,$BG15)&gt;=1,OR(C15="土",C15="日",C15="",BD15=1)),0,1)</f>
        <v>1</v>
      </c>
      <c r="BI15" s="11">
        <f t="shared" si="15"/>
        <v>0</v>
      </c>
      <c r="BJ15" s="11">
        <f t="shared" si="16"/>
        <v>0</v>
      </c>
      <c r="BK15" s="80">
        <f t="shared" si="17"/>
        <v>0</v>
      </c>
      <c r="BL15" s="16">
        <f t="shared" si="18"/>
        <v>0.375</v>
      </c>
      <c r="BM15" s="31">
        <f t="shared" si="19"/>
        <v>0.7395833333321207</v>
      </c>
      <c r="BN15" s="81">
        <f t="shared" ref="BN15:BQ15" si="49">TEXT(MAX(0,MIN($BM15,BN$7)-MAX($BL15,BN$6)),"h:mm")*24</f>
        <v>3</v>
      </c>
      <c r="BO15" s="82">
        <f t="shared" si="49"/>
        <v>1</v>
      </c>
      <c r="BP15" s="82">
        <f t="shared" si="49"/>
        <v>4.75</v>
      </c>
      <c r="BQ15" s="82">
        <f t="shared" si="49"/>
        <v>0</v>
      </c>
      <c r="BR15" s="82">
        <f t="shared" si="21"/>
        <v>0</v>
      </c>
      <c r="BS15" s="82">
        <f t="shared" ref="BS15:BT15" si="50">TEXT(MAX(0,MIN($BM15,BS$7)-MAX($BL15,BS$6)),"h:mm")*24</f>
        <v>0</v>
      </c>
      <c r="BT15" s="83">
        <f t="shared" si="50"/>
        <v>0</v>
      </c>
      <c r="BU15" s="82">
        <f t="shared" si="23"/>
        <v>7.75</v>
      </c>
      <c r="BV15" s="82">
        <f t="shared" si="24"/>
        <v>0</v>
      </c>
      <c r="BW15" s="82">
        <f t="shared" si="25"/>
        <v>0</v>
      </c>
      <c r="BX15" s="82">
        <f t="shared" si="26"/>
        <v>0</v>
      </c>
      <c r="BY15" s="82">
        <f t="shared" si="27"/>
        <v>0</v>
      </c>
      <c r="BZ15" s="84">
        <f t="shared" si="28"/>
        <v>0</v>
      </c>
      <c r="CA15" s="84">
        <f t="shared" si="29"/>
        <v>0</v>
      </c>
      <c r="CB15" s="84">
        <f t="shared" si="30"/>
        <v>0</v>
      </c>
      <c r="CC15" s="82">
        <f t="shared" si="31"/>
        <v>0</v>
      </c>
      <c r="CD15" s="11">
        <f t="shared" si="32"/>
        <v>0</v>
      </c>
      <c r="CE15" s="11"/>
      <c r="CF15" s="11"/>
      <c r="CG15" s="11"/>
      <c r="CH15" s="11"/>
      <c r="CK15" s="85" t="s">
        <v>74</v>
      </c>
      <c r="CL15" s="55"/>
    </row>
    <row r="16" ht="16.5" customHeight="1" spans="1:90" x14ac:dyDescent="0.25">
      <c r="A16" s="62">
        <v>28</v>
      </c>
      <c r="B16" s="55"/>
      <c r="C16" s="63" t="s">
        <v>73</v>
      </c>
      <c r="D16" s="55"/>
      <c r="E16" s="64"/>
      <c r="F16" s="65"/>
      <c r="G16" s="66"/>
      <c r="H16" s="55"/>
      <c r="I16" s="64"/>
      <c r="J16" s="65"/>
      <c r="K16" s="66"/>
      <c r="L16" s="55"/>
      <c r="M16" s="67">
        <f t="shared" si="47"/>
        <v>60</v>
      </c>
      <c r="N16" s="55"/>
      <c r="O16" s="68">
        <f t="shared" si="48"/>
        <v>0.3229166666678793</v>
      </c>
      <c r="P16" s="26"/>
      <c r="Q16" s="26"/>
      <c r="R16" s="55"/>
      <c r="S16" s="68">
        <f t="shared" si="7"/>
      </c>
      <c r="T16" s="26"/>
      <c r="U16" s="26"/>
      <c r="V16" s="55"/>
      <c r="W16" s="68">
        <f t="shared" si="8"/>
      </c>
      <c r="X16" s="26"/>
      <c r="Y16" s="26"/>
      <c r="Z16" s="55"/>
      <c r="AA16" s="68">
        <f t="shared" si="9"/>
      </c>
      <c r="AB16" s="26"/>
      <c r="AC16" s="26"/>
      <c r="AD16" s="55"/>
      <c r="AE16" s="69"/>
      <c r="AF16" s="26"/>
      <c r="AG16" s="26"/>
      <c r="AH16" s="26"/>
      <c r="AI16" s="26"/>
      <c r="AJ16" s="70"/>
      <c r="AK16" s="26"/>
      <c r="AL16" s="26"/>
      <c r="AM16" s="71"/>
      <c r="AN16" s="72"/>
      <c r="AO16" s="55"/>
      <c r="AP16" s="73">
        <f t="shared" si="10"/>
      </c>
      <c r="AQ16" s="54" t="s">
        <v>79</v>
      </c>
      <c r="AR16" s="26"/>
      <c r="AS16" s="26"/>
      <c r="AT16" s="26"/>
      <c r="AU16" s="26"/>
      <c r="AV16" s="55"/>
      <c r="AW16" s="92">
        <v>7</v>
      </c>
      <c r="AX16" s="77" t="s">
        <v>80</v>
      </c>
      <c r="AY16" s="77"/>
      <c r="AZ16" s="25">
        <v>45</v>
      </c>
      <c r="BA16" s="26"/>
      <c r="BB16" s="78" t="s">
        <v>55</v>
      </c>
      <c r="BC16" s="3"/>
      <c r="BD16" s="3">
        <f t="shared" si="11"/>
        <v>0</v>
      </c>
      <c r="BE16" s="11">
        <f t="shared" si="12"/>
        <v>2026</v>
      </c>
      <c r="BF16" s="11">
        <f t="shared" si="13"/>
        <v>8</v>
      </c>
      <c r="BG16" s="11" t="str">
        <f t="shared" si="14"/>
        <v>2026/8/28</v>
      </c>
      <c r="BH16" s="79">
        <f>IF(OR(COUNTIF(祝祭日!$A:$A,$BG16)&gt;=1,OR(C16="土",C16="日",C16="",BD16=1)),0,1)</f>
        <v>1</v>
      </c>
      <c r="BI16" s="11">
        <f t="shared" si="15"/>
        <v>0</v>
      </c>
      <c r="BJ16" s="11">
        <f t="shared" si="16"/>
        <v>0</v>
      </c>
      <c r="BK16" s="80">
        <f t="shared" si="17"/>
        <v>0</v>
      </c>
      <c r="BL16" s="16">
        <f t="shared" si="18"/>
        <v>0.375</v>
      </c>
      <c r="BM16" s="31">
        <f t="shared" si="19"/>
        <v>0.7395833333321207</v>
      </c>
      <c r="BN16" s="81">
        <f t="shared" ref="BN16:BQ16" si="51">TEXT(MAX(0,MIN($BM16,BN$7)-MAX($BL16,BN$6)),"h:mm")*24</f>
        <v>3</v>
      </c>
      <c r="BO16" s="82">
        <f t="shared" si="51"/>
        <v>1</v>
      </c>
      <c r="BP16" s="82">
        <f t="shared" si="51"/>
        <v>4.75</v>
      </c>
      <c r="BQ16" s="82">
        <f t="shared" si="51"/>
        <v>0</v>
      </c>
      <c r="BR16" s="82">
        <f t="shared" si="21"/>
        <v>0</v>
      </c>
      <c r="BS16" s="82">
        <f t="shared" ref="BS16:BT16" si="52">TEXT(MAX(0,MIN($BM16,BS$7)-MAX($BL16,BS$6)),"h:mm")*24</f>
        <v>0</v>
      </c>
      <c r="BT16" s="83">
        <f t="shared" si="52"/>
        <v>0</v>
      </c>
      <c r="BU16" s="82">
        <f t="shared" si="23"/>
        <v>7.75</v>
      </c>
      <c r="BV16" s="82">
        <f t="shared" si="24"/>
        <v>0</v>
      </c>
      <c r="BW16" s="82">
        <f t="shared" si="25"/>
        <v>0</v>
      </c>
      <c r="BX16" s="82">
        <f t="shared" si="26"/>
        <v>0</v>
      </c>
      <c r="BY16" s="82">
        <f t="shared" si="27"/>
        <v>0</v>
      </c>
      <c r="BZ16" s="84">
        <f t="shared" si="28"/>
        <v>0</v>
      </c>
      <c r="CA16" s="84">
        <f t="shared" si="29"/>
        <v>0</v>
      </c>
      <c r="CB16" s="84">
        <f t="shared" si="30"/>
        <v>0</v>
      </c>
      <c r="CC16" s="82">
        <f t="shared" si="31"/>
        <v>0</v>
      </c>
      <c r="CD16" s="11">
        <f t="shared" si="32"/>
        <v>0</v>
      </c>
      <c r="CE16" s="11"/>
      <c r="CF16" s="11"/>
      <c r="CG16" s="11"/>
      <c r="CH16" s="11"/>
      <c r="CK16" s="85" t="s">
        <v>35</v>
      </c>
      <c r="CL16" s="55"/>
    </row>
    <row r="17" ht="16.5" customHeight="1" spans="1:90" x14ac:dyDescent="0.25">
      <c r="A17" s="63">
        <v>29</v>
      </c>
      <c r="B17" s="55"/>
      <c r="C17" s="85" t="s">
        <v>74</v>
      </c>
      <c r="D17" s="55"/>
      <c r="E17" s="64"/>
      <c r="F17" s="65"/>
      <c r="G17" s="66"/>
      <c r="H17" s="55"/>
      <c r="I17" s="64"/>
      <c r="J17" s="65"/>
      <c r="K17" s="66"/>
      <c r="L17" s="55"/>
      <c r="M17" s="67"/>
      <c r="N17" s="55"/>
      <c r="O17" s="68"/>
      <c r="P17" s="26"/>
      <c r="Q17" s="26"/>
      <c r="R17" s="55"/>
      <c r="S17" s="68"/>
      <c r="T17" s="26"/>
      <c r="U17" s="26"/>
      <c r="V17" s="55"/>
      <c r="W17" s="68"/>
      <c r="X17" s="26"/>
      <c r="Y17" s="26"/>
      <c r="Z17" s="55"/>
      <c r="AA17" s="68"/>
      <c r="AB17" s="26"/>
      <c r="AC17" s="26"/>
      <c r="AD17" s="55"/>
      <c r="AE17" s="69"/>
      <c r="AF17" s="26"/>
      <c r="AG17" s="26"/>
      <c r="AH17" s="26"/>
      <c r="AI17" s="26"/>
      <c r="AJ17" s="70"/>
      <c r="AK17" s="26"/>
      <c r="AL17" s="26"/>
      <c r="AM17" s="71"/>
      <c r="AN17" s="72"/>
      <c r="AO17" s="55"/>
      <c r="AP17" s="73">
        <f t="shared" si="10"/>
      </c>
      <c r="AQ17" s="54" t="s">
        <v>81</v>
      </c>
      <c r="AR17" s="26"/>
      <c r="AS17" s="26"/>
      <c r="AT17" s="26"/>
      <c r="AU17" s="26"/>
      <c r="AV17" s="55"/>
      <c r="AW17" s="92">
        <v>7</v>
      </c>
      <c r="AX17" s="77" t="s">
        <v>80</v>
      </c>
      <c r="AY17" s="77"/>
      <c r="AZ17" s="25">
        <v>45</v>
      </c>
      <c r="BA17" s="26"/>
      <c r="BB17" s="78" t="s">
        <v>55</v>
      </c>
      <c r="BC17" s="3"/>
      <c r="BD17" s="3">
        <f t="shared" si="11"/>
        <v>0</v>
      </c>
      <c r="BE17" s="11">
        <f t="shared" si="12"/>
        <v>2026</v>
      </c>
      <c r="BF17" s="11">
        <f t="shared" si="13"/>
        <v>8</v>
      </c>
      <c r="BG17" s="11" t="str">
        <f t="shared" si="14"/>
        <v>2026/8/29</v>
      </c>
      <c r="BH17" s="79">
        <f>IF(OR(COUNTIF(祝祭日!$A:$A,$BG17)&gt;=1,OR(C17="土",C17="日",C17="",BD17=1)),0,1)</f>
        <v>0</v>
      </c>
      <c r="BI17" s="11">
        <f t="shared" si="15"/>
        <v>0</v>
      </c>
      <c r="BJ17" s="11">
        <f t="shared" si="16"/>
        <v>0</v>
      </c>
      <c r="BK17" s="80">
        <f t="shared" si="17"/>
        <v>0</v>
      </c>
      <c r="BL17" s="16">
        <f t="shared" si="18"/>
        <v>0</v>
      </c>
      <c r="BM17" s="31">
        <f t="shared" si="19"/>
        <v>0</v>
      </c>
      <c r="BN17" s="81">
        <f t="shared" ref="BN17:BQ17" si="53">TEXT(MAX(0,MIN($BM17,BN$7)-MAX($BL17,BN$6)),"h:mm")*24</f>
        <v>0</v>
      </c>
      <c r="BO17" s="82">
        <f t="shared" si="53"/>
        <v>0</v>
      </c>
      <c r="BP17" s="82">
        <f t="shared" si="53"/>
        <v>0</v>
      </c>
      <c r="BQ17" s="82">
        <f t="shared" si="53"/>
        <v>0</v>
      </c>
      <c r="BR17" s="82">
        <f t="shared" si="21"/>
        <v>0</v>
      </c>
      <c r="BS17" s="82">
        <f t="shared" ref="BS17:BT17" si="54">TEXT(MAX(0,MIN($BM17,BS$7)-MAX($BL17,BS$6)),"h:mm")*24</f>
        <v>0</v>
      </c>
      <c r="BT17" s="83">
        <f t="shared" si="54"/>
        <v>0</v>
      </c>
      <c r="BU17" s="82">
        <f t="shared" si="23"/>
        <v>0</v>
      </c>
      <c r="BV17" s="82">
        <f t="shared" si="24"/>
        <v>0</v>
      </c>
      <c r="BW17" s="82">
        <f t="shared" si="25"/>
        <v>0</v>
      </c>
      <c r="BX17" s="82">
        <f t="shared" si="26"/>
        <v>0</v>
      </c>
      <c r="BY17" s="82">
        <f t="shared" si="27"/>
        <v>0</v>
      </c>
      <c r="BZ17" s="84">
        <f t="shared" si="28"/>
        <v>0</v>
      </c>
      <c r="CA17" s="84">
        <f t="shared" si="29"/>
        <v>0</v>
      </c>
      <c r="CB17" s="84">
        <f t="shared" si="30"/>
        <v>0</v>
      </c>
      <c r="CC17" s="82">
        <f t="shared" si="31"/>
        <v>0</v>
      </c>
      <c r="CD17" s="11">
        <f t="shared" si="32"/>
        <v>0</v>
      </c>
      <c r="CE17" s="11"/>
      <c r="CF17" s="11"/>
      <c r="CG17" s="11"/>
      <c r="CH17" s="11"/>
      <c r="CK17" s="63" t="s">
        <v>34</v>
      </c>
      <c r="CL17" s="55"/>
    </row>
    <row r="18" ht="16.5" customHeight="1" spans="1:90" x14ac:dyDescent="0.25">
      <c r="A18" s="63">
        <v>30</v>
      </c>
      <c r="B18" s="55"/>
      <c r="C18" s="85" t="s">
        <v>35</v>
      </c>
      <c r="D18" s="55"/>
      <c r="E18" s="64"/>
      <c r="F18" s="65"/>
      <c r="G18" s="66"/>
      <c r="H18" s="55"/>
      <c r="I18" s="64"/>
      <c r="J18" s="65"/>
      <c r="K18" s="66"/>
      <c r="L18" s="55"/>
      <c r="M18" s="89"/>
      <c r="N18" s="55"/>
      <c r="O18" s="93"/>
      <c r="P18" s="26"/>
      <c r="Q18" s="26"/>
      <c r="R18" s="55"/>
      <c r="S18" s="68"/>
      <c r="T18" s="26"/>
      <c r="U18" s="26"/>
      <c r="V18" s="55"/>
      <c r="W18" s="68"/>
      <c r="X18" s="26"/>
      <c r="Y18" s="26"/>
      <c r="Z18" s="55"/>
      <c r="AA18" s="68"/>
      <c r="AB18" s="26"/>
      <c r="AC18" s="26"/>
      <c r="AD18" s="55"/>
      <c r="AE18" s="69"/>
      <c r="AF18" s="26"/>
      <c r="AG18" s="26"/>
      <c r="AH18" s="26"/>
      <c r="AI18" s="26"/>
      <c r="AJ18" s="70"/>
      <c r="AK18" s="26"/>
      <c r="AL18" s="26"/>
      <c r="AM18" s="71"/>
      <c r="AN18" s="72"/>
      <c r="AO18" s="55"/>
      <c r="AP18" s="73">
        <f t="shared" si="10"/>
      </c>
      <c r="AQ18" s="94" t="s">
        <v>82</v>
      </c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37"/>
      <c r="BC18" s="3"/>
      <c r="BD18" s="3">
        <f t="shared" si="11"/>
        <v>0</v>
      </c>
      <c r="BE18" s="11">
        <f t="shared" si="12"/>
        <v>2026</v>
      </c>
      <c r="BF18" s="11">
        <f t="shared" si="13"/>
        <v>8</v>
      </c>
      <c r="BG18" s="11" t="str">
        <f t="shared" si="14"/>
        <v>2026/8/30</v>
      </c>
      <c r="BH18" s="79">
        <f>IF(OR(COUNTIF(祝祭日!$A:$A,$BG18)&gt;=1,OR(C18="土",C18="日",C18="",BD18=1)),0,1)</f>
        <v>0</v>
      </c>
      <c r="BI18" s="11">
        <f t="shared" si="15"/>
        <v>0</v>
      </c>
      <c r="BJ18" s="11">
        <f t="shared" si="16"/>
        <v>0</v>
      </c>
      <c r="BK18" s="80">
        <f t="shared" si="17"/>
        <v>0</v>
      </c>
      <c r="BL18" s="16">
        <f t="shared" si="18"/>
        <v>0</v>
      </c>
      <c r="BM18" s="31">
        <f t="shared" si="19"/>
        <v>0</v>
      </c>
      <c r="BN18" s="81">
        <f t="shared" ref="BN18:BQ18" si="55">TEXT(MAX(0,MIN($BM18,BN$7)-MAX($BL18,BN$6)),"h:mm")*24</f>
        <v>0</v>
      </c>
      <c r="BO18" s="82">
        <f t="shared" si="55"/>
        <v>0</v>
      </c>
      <c r="BP18" s="82">
        <f t="shared" si="55"/>
        <v>0</v>
      </c>
      <c r="BQ18" s="82">
        <f t="shared" si="55"/>
        <v>0</v>
      </c>
      <c r="BR18" s="82">
        <f t="shared" si="21"/>
        <v>0</v>
      </c>
      <c r="BS18" s="82">
        <f t="shared" ref="BS18:BT18" si="56">TEXT(MAX(0,MIN($BM18,BS$7)-MAX($BL18,BS$6)),"h:mm")*24</f>
        <v>0</v>
      </c>
      <c r="BT18" s="83">
        <f t="shared" si="56"/>
        <v>0</v>
      </c>
      <c r="BU18" s="82">
        <f t="shared" si="23"/>
        <v>0</v>
      </c>
      <c r="BV18" s="82">
        <f t="shared" si="24"/>
        <v>0</v>
      </c>
      <c r="BW18" s="82">
        <f t="shared" si="25"/>
        <v>0</v>
      </c>
      <c r="BX18" s="82">
        <f t="shared" si="26"/>
        <v>0</v>
      </c>
      <c r="BY18" s="82">
        <f t="shared" si="27"/>
        <v>0</v>
      </c>
      <c r="BZ18" s="84">
        <f t="shared" si="28"/>
        <v>0</v>
      </c>
      <c r="CA18" s="84">
        <f t="shared" si="29"/>
        <v>0</v>
      </c>
      <c r="CB18" s="84">
        <f t="shared" si="30"/>
        <v>0</v>
      </c>
      <c r="CC18" s="82">
        <f t="shared" si="31"/>
        <v>0</v>
      </c>
      <c r="CD18" s="11">
        <f t="shared" si="32"/>
        <v>0</v>
      </c>
      <c r="CE18" s="11"/>
      <c r="CF18" s="11"/>
      <c r="CG18" s="11"/>
      <c r="CH18" s="11"/>
      <c r="CK18" s="63" t="s">
        <v>76</v>
      </c>
      <c r="CL18" s="55"/>
    </row>
    <row r="19" ht="16.5" customHeight="1" spans="1:90" x14ac:dyDescent="0.25">
      <c r="A19" s="63">
        <v>31</v>
      </c>
      <c r="B19" s="55"/>
      <c r="C19" s="63" t="s">
        <v>34</v>
      </c>
      <c r="D19" s="55"/>
      <c r="E19" s="64"/>
      <c r="F19" s="65"/>
      <c r="G19" s="66"/>
      <c r="H19" s="55"/>
      <c r="I19" s="64"/>
      <c r="J19" s="65"/>
      <c r="K19" s="66"/>
      <c r="L19" s="55"/>
      <c r="M19" s="89">
        <f t="shared" ref="M19" si="57">IF(E19="","",IF((BO19+BQ19)=0,"",(BO19+BQ19)*60))</f>
        <v>60</v>
      </c>
      <c r="N19" s="55"/>
      <c r="O19" s="68">
        <f t="shared" ref="O19:O23" si="58">IF(E19&lt;&gt;"",IF(BU19&lt;&gt;0,BU19/24,""),"")</f>
        <v>0.3229166666678793</v>
      </c>
      <c r="P19" s="26"/>
      <c r="Q19" s="26"/>
      <c r="R19" s="55"/>
      <c r="S19" s="68"/>
      <c r="T19" s="26"/>
      <c r="U19" s="26"/>
      <c r="V19" s="55"/>
      <c r="W19" s="68">
        <f t="shared" si="8"/>
      </c>
      <c r="X19" s="26"/>
      <c r="Y19" s="26"/>
      <c r="Z19" s="55"/>
      <c r="AA19" s="68">
        <f t="shared" si="9"/>
      </c>
      <c r="AB19" s="26"/>
      <c r="AC19" s="26"/>
      <c r="AD19" s="55"/>
      <c r="AE19" s="69"/>
      <c r="AF19" s="26"/>
      <c r="AG19" s="26"/>
      <c r="AH19" s="26"/>
      <c r="AI19" s="26"/>
      <c r="AJ19" s="70"/>
      <c r="AK19" s="26"/>
      <c r="AL19" s="26"/>
      <c r="AM19" s="71"/>
      <c r="AN19" s="72"/>
      <c r="AO19" s="55"/>
      <c r="AP19" s="73">
        <f t="shared" si="10"/>
      </c>
      <c r="AQ19" s="47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48"/>
      <c r="BC19" s="3"/>
      <c r="BD19" s="3">
        <f t="shared" si="11"/>
        <v>0</v>
      </c>
      <c r="BE19" s="11">
        <f t="shared" si="12"/>
        <v>2026</v>
      </c>
      <c r="BF19" s="11">
        <f t="shared" si="13"/>
        <v>8</v>
      </c>
      <c r="BG19" s="11" t="str">
        <f t="shared" si="14"/>
        <v>2026/8/31</v>
      </c>
      <c r="BH19" s="79">
        <f>IF(OR(COUNTIF(祝祭日!$A:$A,$BG19)&gt;=1,OR(C19="土",C19="日",C19="",BD19=1)),0,1)</f>
        <v>1</v>
      </c>
      <c r="BI19" s="11">
        <f t="shared" si="15"/>
        <v>0</v>
      </c>
      <c r="BJ19" s="11">
        <f t="shared" si="16"/>
        <v>0</v>
      </c>
      <c r="BK19" s="80">
        <f t="shared" si="17"/>
        <v>0</v>
      </c>
      <c r="BL19" s="16">
        <f t="shared" si="18"/>
        <v>0.375</v>
      </c>
      <c r="BM19" s="31">
        <f t="shared" si="19"/>
        <v>0.7395833333321207</v>
      </c>
      <c r="BN19" s="81">
        <f t="shared" ref="BN19:BQ19" si="59">TEXT(MAX(0,MIN($BM19,BN$7)-MAX($BL19,BN$6)),"h:mm")*24</f>
        <v>3</v>
      </c>
      <c r="BO19" s="82">
        <f t="shared" si="59"/>
        <v>1</v>
      </c>
      <c r="BP19" s="82">
        <f t="shared" si="59"/>
        <v>4.75</v>
      </c>
      <c r="BQ19" s="82">
        <f t="shared" si="59"/>
        <v>0</v>
      </c>
      <c r="BR19" s="82">
        <f t="shared" si="21"/>
        <v>0</v>
      </c>
      <c r="BS19" s="82">
        <f t="shared" ref="BS19:BT19" si="60">TEXT(MAX(0,MIN($BM19,BS$7)-MAX($BL19,BS$6)),"h:mm")*24</f>
        <v>0</v>
      </c>
      <c r="BT19" s="83">
        <f t="shared" si="60"/>
        <v>0</v>
      </c>
      <c r="BU19" s="82">
        <f t="shared" si="23"/>
        <v>7.75</v>
      </c>
      <c r="BV19" s="82">
        <f t="shared" si="24"/>
        <v>0</v>
      </c>
      <c r="BW19" s="82">
        <f t="shared" si="25"/>
        <v>0</v>
      </c>
      <c r="BX19" s="82">
        <f t="shared" si="26"/>
        <v>0</v>
      </c>
      <c r="BY19" s="82">
        <f t="shared" si="27"/>
        <v>0</v>
      </c>
      <c r="BZ19" s="84">
        <f t="shared" si="28"/>
        <v>0</v>
      </c>
      <c r="CA19" s="84">
        <f t="shared" si="29"/>
        <v>0</v>
      </c>
      <c r="CB19" s="84">
        <f t="shared" si="30"/>
        <v>0</v>
      </c>
      <c r="CC19" s="82">
        <f t="shared" si="31"/>
        <v>0</v>
      </c>
      <c r="CD19" s="11">
        <f t="shared" si="32"/>
        <v>0</v>
      </c>
      <c r="CE19" s="11"/>
      <c r="CF19" s="11"/>
      <c r="CG19" s="11"/>
      <c r="CH19" s="11"/>
      <c r="CK19" s="63" t="s">
        <v>77</v>
      </c>
      <c r="CL19" s="55"/>
    </row>
    <row r="20" ht="16.5" customHeight="1" spans="1:90" x14ac:dyDescent="0.25">
      <c r="A20" s="63">
        <v>1</v>
      </c>
      <c r="B20" s="55"/>
      <c r="C20" s="63" t="s">
        <v>76</v>
      </c>
      <c r="D20" s="55"/>
      <c r="E20" s="64"/>
      <c r="F20" s="65"/>
      <c r="G20" s="66"/>
      <c r="H20" s="55"/>
      <c r="I20" s="64"/>
      <c r="J20" s="65"/>
      <c r="K20" s="66"/>
      <c r="L20" s="55"/>
      <c r="M20" s="67">
        <f>IF(E20="","",IF((BO20+BQ20)=0,"",(BO20+BQ20)*60))</f>
        <v>60</v>
      </c>
      <c r="N20" s="55"/>
      <c r="O20" s="68">
        <f t="shared" si="58"/>
        <v>0.3229166666678793</v>
      </c>
      <c r="P20" s="26"/>
      <c r="Q20" s="26"/>
      <c r="R20" s="55"/>
      <c r="S20" s="68">
        <f t="shared" ref="S20:S35" si="61">IF(E20&lt;&gt;"",IF(BY20&lt;&gt;0,BY20/24,""),"")</f>
      </c>
      <c r="T20" s="26"/>
      <c r="U20" s="26"/>
      <c r="V20" s="55"/>
      <c r="W20" s="68">
        <f t="shared" si="8"/>
      </c>
      <c r="X20" s="26"/>
      <c r="Y20" s="26"/>
      <c r="Z20" s="55"/>
      <c r="AA20" s="68">
        <f t="shared" si="9"/>
      </c>
      <c r="AB20" s="26"/>
      <c r="AC20" s="26"/>
      <c r="AD20" s="55"/>
      <c r="AE20" s="69"/>
      <c r="AF20" s="26"/>
      <c r="AG20" s="26"/>
      <c r="AH20" s="26"/>
      <c r="AI20" s="26"/>
      <c r="AJ20" s="70"/>
      <c r="AK20" s="26"/>
      <c r="AL20" s="26"/>
      <c r="AM20" s="71"/>
      <c r="AN20" s="72"/>
      <c r="AO20" s="55"/>
      <c r="AP20" s="73">
        <f t="shared" si="10"/>
      </c>
      <c r="AQ20" s="54" t="s">
        <v>83</v>
      </c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55"/>
      <c r="BC20" s="3"/>
      <c r="BD20" s="3">
        <f t="shared" si="11"/>
        <v>0</v>
      </c>
      <c r="BE20" s="11">
        <f t="shared" ref="BE20:BE39" si="62">$A$3</f>
        <v>2026</v>
      </c>
      <c r="BF20" s="11">
        <f t="shared" ref="BF20:BF39" si="63">IF($B$5=$O$5,IF($B$5&lt;$I$3,$B$5+1,$B$5),$I$3)</f>
        <v>9</v>
      </c>
      <c r="BG20" s="11" t="str">
        <f t="shared" si="14"/>
        <v>2026/9/1</v>
      </c>
      <c r="BH20" s="79">
        <f>IF(OR(COUNTIF(祝祭日!$A:$A,$BG20)&gt;=1,OR(C20="土",C20="日",C20="",BD20=1)),0,1)</f>
        <v>1</v>
      </c>
      <c r="BI20" s="11">
        <f t="shared" si="15"/>
        <v>0</v>
      </c>
      <c r="BJ20" s="11">
        <f t="shared" si="16"/>
        <v>0</v>
      </c>
      <c r="BK20" s="80">
        <f t="shared" si="17"/>
        <v>0</v>
      </c>
      <c r="BL20" s="16">
        <f t="shared" si="18"/>
        <v>0.375</v>
      </c>
      <c r="BM20" s="31">
        <f t="shared" si="19"/>
        <v>0.7395833333321207</v>
      </c>
      <c r="BN20" s="81">
        <f t="shared" ref="BN20:BQ20" si="64">TEXT(MAX(0,MIN($BM20,BN$7)-MAX($BL20,BN$6)),"h:mm")*24</f>
        <v>3</v>
      </c>
      <c r="BO20" s="82">
        <f t="shared" si="64"/>
        <v>1</v>
      </c>
      <c r="BP20" s="82">
        <f t="shared" si="64"/>
        <v>4.75</v>
      </c>
      <c r="BQ20" s="82">
        <f t="shared" si="64"/>
        <v>0</v>
      </c>
      <c r="BR20" s="82">
        <f t="shared" si="21"/>
        <v>0</v>
      </c>
      <c r="BS20" s="82">
        <f t="shared" ref="BS20:BT20" si="65">TEXT(MAX(0,MIN($BM20,BS$7)-MAX($BL20,BS$6)),"h:mm")*24</f>
        <v>0</v>
      </c>
      <c r="BT20" s="83">
        <f t="shared" si="65"/>
        <v>0</v>
      </c>
      <c r="BU20" s="82">
        <f t="shared" si="23"/>
        <v>7.75</v>
      </c>
      <c r="BV20" s="82">
        <f t="shared" si="24"/>
        <v>0</v>
      </c>
      <c r="BW20" s="82">
        <f t="shared" si="25"/>
        <v>0</v>
      </c>
      <c r="BX20" s="82">
        <f t="shared" si="26"/>
        <v>0</v>
      </c>
      <c r="BY20" s="82">
        <f t="shared" si="27"/>
        <v>0</v>
      </c>
      <c r="BZ20" s="84">
        <f t="shared" si="28"/>
        <v>0</v>
      </c>
      <c r="CA20" s="84">
        <f t="shared" si="29"/>
        <v>0</v>
      </c>
      <c r="CB20" s="84">
        <f t="shared" si="30"/>
        <v>0</v>
      </c>
      <c r="CC20" s="82">
        <f t="shared" si="31"/>
        <v>0</v>
      </c>
      <c r="CD20" s="11">
        <f t="shared" si="32"/>
        <v>0</v>
      </c>
      <c r="CE20" s="11"/>
      <c r="CF20" s="11"/>
      <c r="CG20" s="11"/>
      <c r="CH20" s="11"/>
      <c r="CK20" s="63" t="s">
        <v>78</v>
      </c>
      <c r="CL20" s="55"/>
    </row>
    <row r="21" ht="16.5" customHeight="1" spans="1:90" x14ac:dyDescent="0.25">
      <c r="A21" s="63">
        <v>2</v>
      </c>
      <c r="B21" s="55"/>
      <c r="C21" s="63" t="s">
        <v>77</v>
      </c>
      <c r="D21" s="55"/>
      <c r="E21" s="64"/>
      <c r="F21" s="65"/>
      <c r="G21" s="66"/>
      <c r="H21" s="55"/>
      <c r="I21" s="64"/>
      <c r="J21" s="65"/>
      <c r="K21" s="66"/>
      <c r="L21" s="55"/>
      <c r="M21" s="67">
        <f>IF(E21="","",IF((BO21+BQ21)=0,"",(BO21+BQ21)*60))</f>
        <v>60</v>
      </c>
      <c r="N21" s="55"/>
      <c r="O21" s="68">
        <f t="shared" si="58"/>
        <v>0.3229166666678793</v>
      </c>
      <c r="P21" s="26"/>
      <c r="Q21" s="26"/>
      <c r="R21" s="55"/>
      <c r="S21" s="68">
        <f t="shared" si="61"/>
      </c>
      <c r="T21" s="26"/>
      <c r="U21" s="26"/>
      <c r="V21" s="55"/>
      <c r="W21" s="68">
        <f t="shared" si="8"/>
      </c>
      <c r="X21" s="26"/>
      <c r="Y21" s="26"/>
      <c r="Z21" s="55"/>
      <c r="AA21" s="68">
        <f t="shared" si="9"/>
      </c>
      <c r="AB21" s="26"/>
      <c r="AC21" s="26"/>
      <c r="AD21" s="55"/>
      <c r="AE21" s="69"/>
      <c r="AF21" s="26"/>
      <c r="AG21" s="26"/>
      <c r="AH21" s="26"/>
      <c r="AI21" s="26"/>
      <c r="AJ21" s="70"/>
      <c r="AK21" s="26"/>
      <c r="AL21" s="26"/>
      <c r="AM21" s="71"/>
      <c r="AN21" s="72"/>
      <c r="AO21" s="55"/>
      <c r="AP21" s="73">
        <f t="shared" si="10"/>
      </c>
      <c r="AQ21" s="94" t="s">
        <v>84</v>
      </c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37"/>
      <c r="BC21" s="3"/>
      <c r="BD21" s="3">
        <f t="shared" si="11"/>
        <v>0</v>
      </c>
      <c r="BE21" s="11">
        <f t="shared" si="62"/>
        <v>2026</v>
      </c>
      <c r="BF21" s="11">
        <f t="shared" si="63"/>
        <v>9</v>
      </c>
      <c r="BG21" s="11" t="str">
        <f t="shared" si="14"/>
        <v>2026/9/2</v>
      </c>
      <c r="BH21" s="79">
        <f>IF(OR(COUNTIF(祝祭日!$A:$A,$BG21)&gt;=1,OR(C21="土",C21="日",C21="",BD21=1)),0,1)</f>
        <v>1</v>
      </c>
      <c r="BI21" s="11">
        <f t="shared" si="15"/>
        <v>0</v>
      </c>
      <c r="BJ21" s="11">
        <f t="shared" si="16"/>
        <v>0</v>
      </c>
      <c r="BK21" s="80">
        <f t="shared" si="17"/>
        <v>0</v>
      </c>
      <c r="BL21" s="16">
        <f t="shared" si="18"/>
        <v>0.375</v>
      </c>
      <c r="BM21" s="31">
        <f t="shared" si="19"/>
        <v>0.7395833333321207</v>
      </c>
      <c r="BN21" s="81">
        <f t="shared" ref="BN21:BQ21" si="66">TEXT(MAX(0,MIN($BM21,BN$7)-MAX($BL21,BN$6)),"h:mm")*24</f>
        <v>3</v>
      </c>
      <c r="BO21" s="82">
        <f t="shared" si="66"/>
        <v>1</v>
      </c>
      <c r="BP21" s="82">
        <f t="shared" si="66"/>
        <v>4.75</v>
      </c>
      <c r="BQ21" s="82">
        <f t="shared" si="66"/>
        <v>0</v>
      </c>
      <c r="BR21" s="82">
        <f t="shared" si="21"/>
        <v>0</v>
      </c>
      <c r="BS21" s="82">
        <f t="shared" ref="BS21:BT21" si="67">TEXT(MAX(0,MIN($BM21,BS$7)-MAX($BL21,BS$6)),"h:mm")*24</f>
        <v>0</v>
      </c>
      <c r="BT21" s="83">
        <f t="shared" si="67"/>
        <v>0</v>
      </c>
      <c r="BU21" s="82">
        <f t="shared" si="23"/>
        <v>7.75</v>
      </c>
      <c r="BV21" s="82">
        <f t="shared" si="24"/>
        <v>0</v>
      </c>
      <c r="BW21" s="82">
        <f t="shared" si="25"/>
        <v>0</v>
      </c>
      <c r="BX21" s="82">
        <f t="shared" si="26"/>
        <v>0</v>
      </c>
      <c r="BY21" s="82">
        <f t="shared" si="27"/>
        <v>0</v>
      </c>
      <c r="BZ21" s="84">
        <f t="shared" si="28"/>
        <v>0</v>
      </c>
      <c r="CA21" s="84">
        <f t="shared" si="29"/>
        <v>0</v>
      </c>
      <c r="CB21" s="84">
        <f t="shared" si="30"/>
        <v>0</v>
      </c>
      <c r="CC21" s="82">
        <f t="shared" si="31"/>
        <v>0</v>
      </c>
      <c r="CD21" s="11">
        <f t="shared" si="32"/>
        <v>0</v>
      </c>
      <c r="CE21" s="11"/>
      <c r="CF21" s="11"/>
      <c r="CG21" s="11"/>
      <c r="CH21" s="11"/>
      <c r="CK21" s="63" t="s">
        <v>73</v>
      </c>
      <c r="CL21" s="55"/>
    </row>
    <row r="22" ht="16.5" customHeight="1" spans="1:90" x14ac:dyDescent="0.25">
      <c r="A22" s="63">
        <v>3</v>
      </c>
      <c r="B22" s="55"/>
      <c r="C22" s="63" t="s">
        <v>78</v>
      </c>
      <c r="D22" s="55"/>
      <c r="E22" s="64"/>
      <c r="F22" s="65"/>
      <c r="G22" s="66"/>
      <c r="H22" s="55"/>
      <c r="I22" s="64"/>
      <c r="J22" s="65"/>
      <c r="K22" s="66"/>
      <c r="L22" s="55"/>
      <c r="M22" s="67">
        <f t="shared" ref="M22" si="68">IF(E22="","",IF((BO22+BQ22)=0,"",(BO22+BQ22)*60))</f>
        <v>60</v>
      </c>
      <c r="N22" s="55"/>
      <c r="O22" s="68">
        <f t="shared" si="58"/>
        <v>0.3229166666678793</v>
      </c>
      <c r="P22" s="26"/>
      <c r="Q22" s="26"/>
      <c r="R22" s="55"/>
      <c r="S22" s="68">
        <f t="shared" si="61"/>
      </c>
      <c r="T22" s="26"/>
      <c r="U22" s="26"/>
      <c r="V22" s="55"/>
      <c r="W22" s="68">
        <f t="shared" si="8"/>
      </c>
      <c r="X22" s="26"/>
      <c r="Y22" s="26"/>
      <c r="Z22" s="55"/>
      <c r="AA22" s="68">
        <f t="shared" si="9"/>
      </c>
      <c r="AB22" s="26"/>
      <c r="AC22" s="26"/>
      <c r="AD22" s="55"/>
      <c r="AE22" s="69"/>
      <c r="AF22" s="26"/>
      <c r="AG22" s="26"/>
      <c r="AH22" s="26"/>
      <c r="AI22" s="26"/>
      <c r="AJ22" s="70"/>
      <c r="AK22" s="26"/>
      <c r="AL22" s="26"/>
      <c r="AM22" s="71"/>
      <c r="AN22" s="72"/>
      <c r="AO22" s="55"/>
      <c r="AP22" s="73">
        <f t="shared" si="10"/>
      </c>
      <c r="AQ22" s="47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48"/>
      <c r="BC22" s="3"/>
      <c r="BD22" s="3">
        <f t="shared" si="11"/>
        <v>0</v>
      </c>
      <c r="BE22" s="11">
        <f t="shared" si="62"/>
        <v>2026</v>
      </c>
      <c r="BF22" s="11">
        <f t="shared" si="63"/>
        <v>9</v>
      </c>
      <c r="BG22" s="11" t="str">
        <f t="shared" si="14"/>
        <v>2026/9/3</v>
      </c>
      <c r="BH22" s="79">
        <f>IF(OR(COUNTIF(祝祭日!$A:$A,$BG22)&gt;=1,OR(C22="土",C22="日",C22="",BD22=1)),0,1)</f>
        <v>1</v>
      </c>
      <c r="BI22" s="11">
        <f t="shared" si="15"/>
        <v>0</v>
      </c>
      <c r="BJ22" s="11">
        <f t="shared" si="16"/>
        <v>0</v>
      </c>
      <c r="BK22" s="80">
        <f t="shared" si="17"/>
        <v>0</v>
      </c>
      <c r="BL22" s="16">
        <f t="shared" si="18"/>
        <v>0.375</v>
      </c>
      <c r="BM22" s="31">
        <f t="shared" si="19"/>
        <v>0.7395833333321207</v>
      </c>
      <c r="BN22" s="81">
        <f t="shared" ref="BN22:BQ22" si="69">TEXT(MAX(0,MIN($BM22,BN$7)-MAX($BL22,BN$6)),"h:mm")*24</f>
        <v>3</v>
      </c>
      <c r="BO22" s="82">
        <f t="shared" si="69"/>
        <v>1</v>
      </c>
      <c r="BP22" s="82">
        <f t="shared" si="69"/>
        <v>4.75</v>
      </c>
      <c r="BQ22" s="82">
        <f t="shared" si="69"/>
        <v>0</v>
      </c>
      <c r="BR22" s="82">
        <f t="shared" si="21"/>
        <v>0</v>
      </c>
      <c r="BS22" s="82">
        <f t="shared" ref="BS22:BT22" si="70">TEXT(MAX(0,MIN($BM22,BS$7)-MAX($BL22,BS$6)),"h:mm")*24</f>
        <v>0</v>
      </c>
      <c r="BT22" s="83">
        <f t="shared" si="70"/>
        <v>0</v>
      </c>
      <c r="BU22" s="82">
        <f t="shared" si="23"/>
        <v>7.75</v>
      </c>
      <c r="BV22" s="82">
        <f t="shared" si="24"/>
        <v>0</v>
      </c>
      <c r="BW22" s="82">
        <f t="shared" si="25"/>
        <v>0</v>
      </c>
      <c r="BX22" s="82">
        <f t="shared" si="26"/>
        <v>0</v>
      </c>
      <c r="BY22" s="82">
        <f t="shared" si="27"/>
        <v>0</v>
      </c>
      <c r="BZ22" s="84">
        <f t="shared" si="28"/>
        <v>0</v>
      </c>
      <c r="CA22" s="84">
        <f t="shared" si="29"/>
        <v>0</v>
      </c>
      <c r="CB22" s="84">
        <f t="shared" si="30"/>
        <v>0</v>
      </c>
      <c r="CC22" s="82">
        <f t="shared" si="31"/>
        <v>0</v>
      </c>
      <c r="CD22" s="11">
        <f t="shared" si="32"/>
        <v>0</v>
      </c>
      <c r="CE22" s="11"/>
      <c r="CF22" s="11"/>
      <c r="CG22" s="11"/>
      <c r="CH22" s="11"/>
      <c r="CK22" s="85" t="s">
        <v>74</v>
      </c>
      <c r="CL22" s="55"/>
    </row>
    <row r="23" ht="16.5" customHeight="1" spans="1:90" x14ac:dyDescent="0.25">
      <c r="A23" s="63">
        <v>4</v>
      </c>
      <c r="B23" s="55"/>
      <c r="C23" s="63" t="s">
        <v>73</v>
      </c>
      <c r="D23" s="55"/>
      <c r="E23" s="64"/>
      <c r="F23" s="65"/>
      <c r="G23" s="66"/>
      <c r="H23" s="55"/>
      <c r="I23" s="64"/>
      <c r="J23" s="65"/>
      <c r="K23" s="66"/>
      <c r="L23" s="55"/>
      <c r="M23" s="67">
        <f t="shared" ref="M23" si="71">IF(E23="","",IF((BO23+BQ23)=0,"",(BO23+BQ23)*60))</f>
        <v>60</v>
      </c>
      <c r="N23" s="55"/>
      <c r="O23" s="68">
        <f t="shared" si="58"/>
        <v>0.3229166666678793</v>
      </c>
      <c r="P23" s="26"/>
      <c r="Q23" s="26"/>
      <c r="R23" s="55"/>
      <c r="S23" s="68">
        <f t="shared" si="61"/>
      </c>
      <c r="T23" s="26"/>
      <c r="U23" s="26"/>
      <c r="V23" s="55"/>
      <c r="W23" s="68">
        <f t="shared" si="8"/>
      </c>
      <c r="X23" s="26"/>
      <c r="Y23" s="26"/>
      <c r="Z23" s="55"/>
      <c r="AA23" s="68"/>
      <c r="AB23" s="26"/>
      <c r="AC23" s="26"/>
      <c r="AD23" s="55"/>
      <c r="AE23" s="69"/>
      <c r="AF23" s="26"/>
      <c r="AG23" s="26"/>
      <c r="AH23" s="26"/>
      <c r="AI23" s="26"/>
      <c r="AJ23" s="70"/>
      <c r="AK23" s="26"/>
      <c r="AL23" s="26"/>
      <c r="AM23" s="71"/>
      <c r="AN23" s="72"/>
      <c r="AO23" s="55"/>
      <c r="AP23" s="73">
        <f t="shared" si="10"/>
      </c>
      <c r="AQ23" s="74" t="s">
        <v>23</v>
      </c>
      <c r="AR23" s="55"/>
      <c r="AS23" s="54" t="s">
        <v>85</v>
      </c>
      <c r="AT23" s="26"/>
      <c r="AU23" s="26"/>
      <c r="AV23" s="26"/>
      <c r="AW23" s="26"/>
      <c r="AX23" s="26"/>
      <c r="AY23" s="26"/>
      <c r="AZ23" s="26"/>
      <c r="BA23" s="26"/>
      <c r="BB23" s="55"/>
      <c r="BC23" s="3"/>
      <c r="BD23" s="3">
        <f t="shared" si="11"/>
        <v>0</v>
      </c>
      <c r="BE23" s="11">
        <f t="shared" si="62"/>
        <v>2026</v>
      </c>
      <c r="BF23" s="11">
        <f t="shared" si="63"/>
        <v>9</v>
      </c>
      <c r="BG23" s="11" t="str">
        <f t="shared" si="14"/>
        <v>2026/9/4</v>
      </c>
      <c r="BH23" s="79">
        <f>IF(OR(COUNTIF(祝祭日!$A:$A,$BG23)&gt;=1,OR(C23="土",C23="日",C23="",BD23=1)),0,1)</f>
        <v>1</v>
      </c>
      <c r="BI23" s="11">
        <f t="shared" si="15"/>
        <v>0</v>
      </c>
      <c r="BJ23" s="11">
        <f t="shared" si="16"/>
        <v>0</v>
      </c>
      <c r="BK23" s="80">
        <f t="shared" si="17"/>
        <v>0</v>
      </c>
      <c r="BL23" s="16">
        <f t="shared" si="18"/>
        <v>0.375</v>
      </c>
      <c r="BM23" s="31">
        <f t="shared" si="19"/>
        <v>0.7395833333321207</v>
      </c>
      <c r="BN23" s="81">
        <f t="shared" ref="BN23:BQ23" si="72">TEXT(MAX(0,MIN($BM23,BN$7)-MAX($BL23,BN$6)),"h:mm")*24</f>
        <v>3</v>
      </c>
      <c r="BO23" s="82">
        <f t="shared" si="72"/>
        <v>1</v>
      </c>
      <c r="BP23" s="82">
        <f t="shared" si="72"/>
        <v>4.75</v>
      </c>
      <c r="BQ23" s="82">
        <f t="shared" si="72"/>
        <v>0</v>
      </c>
      <c r="BR23" s="82">
        <f t="shared" si="21"/>
        <v>0</v>
      </c>
      <c r="BS23" s="82">
        <f t="shared" ref="BS23:BT23" si="73">TEXT(MAX(0,MIN($BM23,BS$7)-MAX($BL23,BS$6)),"h:mm")*24</f>
        <v>0</v>
      </c>
      <c r="BT23" s="83">
        <f t="shared" si="73"/>
        <v>0</v>
      </c>
      <c r="BU23" s="82">
        <f t="shared" si="23"/>
        <v>7.75</v>
      </c>
      <c r="BV23" s="82">
        <f t="shared" si="24"/>
        <v>0</v>
      </c>
      <c r="BW23" s="82">
        <f t="shared" si="25"/>
        <v>0</v>
      </c>
      <c r="BX23" s="82">
        <f t="shared" si="26"/>
        <v>0</v>
      </c>
      <c r="BY23" s="82">
        <f t="shared" si="27"/>
        <v>0</v>
      </c>
      <c r="BZ23" s="84">
        <f t="shared" si="28"/>
        <v>0</v>
      </c>
      <c r="CA23" s="84">
        <f t="shared" si="29"/>
        <v>0</v>
      </c>
      <c r="CB23" s="84">
        <f t="shared" si="30"/>
        <v>0</v>
      </c>
      <c r="CC23" s="82">
        <f t="shared" si="31"/>
        <v>0</v>
      </c>
      <c r="CD23" s="11">
        <f t="shared" si="32"/>
        <v>0</v>
      </c>
      <c r="CE23" s="11"/>
      <c r="CF23" s="11"/>
      <c r="CG23" s="11"/>
      <c r="CH23" s="11"/>
      <c r="CK23" s="85" t="s">
        <v>35</v>
      </c>
      <c r="CL23" s="55"/>
    </row>
    <row r="24" ht="16.5" customHeight="1" spans="1:90" x14ac:dyDescent="0.25">
      <c r="A24" s="63">
        <v>5</v>
      </c>
      <c r="B24" s="55"/>
      <c r="C24" s="85" t="s">
        <v>74</v>
      </c>
      <c r="D24" s="55"/>
      <c r="E24" s="64"/>
      <c r="F24" s="65"/>
      <c r="G24" s="66"/>
      <c r="H24" s="55"/>
      <c r="I24" s="64"/>
      <c r="J24" s="65"/>
      <c r="K24" s="66"/>
      <c r="L24" s="55"/>
      <c r="M24" s="67"/>
      <c r="N24" s="55"/>
      <c r="O24" s="68"/>
      <c r="P24" s="26"/>
      <c r="Q24" s="26"/>
      <c r="R24" s="55"/>
      <c r="S24" s="68"/>
      <c r="T24" s="26"/>
      <c r="U24" s="26"/>
      <c r="V24" s="55"/>
      <c r="W24" s="68"/>
      <c r="X24" s="26"/>
      <c r="Y24" s="26"/>
      <c r="Z24" s="55"/>
      <c r="AA24" s="68"/>
      <c r="AB24" s="26"/>
      <c r="AC24" s="26"/>
      <c r="AD24" s="55"/>
      <c r="AE24" s="69"/>
      <c r="AF24" s="26"/>
      <c r="AG24" s="26"/>
      <c r="AH24" s="26"/>
      <c r="AI24" s="26"/>
      <c r="AJ24" s="70"/>
      <c r="AK24" s="26"/>
      <c r="AL24" s="26"/>
      <c r="AM24" s="71"/>
      <c r="AN24" s="72"/>
      <c r="AO24" s="55"/>
      <c r="AP24" s="73">
        <f t="shared" si="10"/>
      </c>
      <c r="AQ24" s="54" t="s">
        <v>86</v>
      </c>
      <c r="AR24" s="26"/>
      <c r="AS24" s="26"/>
      <c r="AT24" s="26"/>
      <c r="AU24" s="26"/>
      <c r="AV24" s="55"/>
      <c r="AW24" s="95">
        <v>15</v>
      </c>
      <c r="AX24" s="26"/>
      <c r="AY24" s="26"/>
      <c r="AZ24" s="26"/>
      <c r="BA24" s="77" t="s">
        <v>55</v>
      </c>
      <c r="BB24" s="78"/>
      <c r="BC24" s="3"/>
      <c r="BD24" s="3">
        <f t="shared" si="11"/>
        <v>0</v>
      </c>
      <c r="BE24" s="11">
        <f t="shared" si="62"/>
        <v>2026</v>
      </c>
      <c r="BF24" s="11">
        <f t="shared" si="63"/>
        <v>9</v>
      </c>
      <c r="BG24" s="11" t="str">
        <f t="shared" si="14"/>
        <v>2026/9/5</v>
      </c>
      <c r="BH24" s="79">
        <f>IF(OR(COUNTIF(祝祭日!$A:$A,$BG24)&gt;=1,OR(C24="土",C24="日",C24="",BD24=1)),0,1)</f>
        <v>0</v>
      </c>
      <c r="BI24" s="11">
        <f t="shared" si="15"/>
        <v>0</v>
      </c>
      <c r="BJ24" s="11">
        <f t="shared" si="16"/>
        <v>0</v>
      </c>
      <c r="BK24" s="80">
        <f t="shared" si="17"/>
        <v>0</v>
      </c>
      <c r="BL24" s="16">
        <f t="shared" si="18"/>
        <v>0</v>
      </c>
      <c r="BM24" s="31">
        <f t="shared" si="19"/>
        <v>0</v>
      </c>
      <c r="BN24" s="81">
        <f t="shared" ref="BN24:BQ24" si="74">TEXT(MAX(0,MIN($BM24,BN$7)-MAX($BL24,BN$6)),"h:mm")*24</f>
        <v>0</v>
      </c>
      <c r="BO24" s="82">
        <f t="shared" si="74"/>
        <v>0</v>
      </c>
      <c r="BP24" s="82">
        <f t="shared" si="74"/>
        <v>0</v>
      </c>
      <c r="BQ24" s="82">
        <f t="shared" si="74"/>
        <v>0</v>
      </c>
      <c r="BR24" s="82">
        <f t="shared" si="21"/>
        <v>0</v>
      </c>
      <c r="BS24" s="82">
        <f t="shared" ref="BS24:BT24" si="75">TEXT(MAX(0,MIN($BM24,BS$7)-MAX($BL24,BS$6)),"h:mm")*24</f>
        <v>0</v>
      </c>
      <c r="BT24" s="83">
        <f t="shared" si="75"/>
        <v>0</v>
      </c>
      <c r="BU24" s="82">
        <f t="shared" si="23"/>
        <v>0</v>
      </c>
      <c r="BV24" s="82">
        <f t="shared" si="24"/>
        <v>0</v>
      </c>
      <c r="BW24" s="82">
        <f t="shared" si="25"/>
        <v>0</v>
      </c>
      <c r="BX24" s="82">
        <f t="shared" si="26"/>
        <v>0</v>
      </c>
      <c r="BY24" s="82">
        <f t="shared" si="27"/>
        <v>0</v>
      </c>
      <c r="BZ24" s="84">
        <f t="shared" si="28"/>
        <v>0</v>
      </c>
      <c r="CA24" s="84">
        <f t="shared" si="29"/>
        <v>0</v>
      </c>
      <c r="CB24" s="84">
        <f t="shared" si="30"/>
        <v>0</v>
      </c>
      <c r="CC24" s="82">
        <f t="shared" si="31"/>
        <v>0</v>
      </c>
      <c r="CD24" s="11">
        <f t="shared" si="32"/>
        <v>0</v>
      </c>
      <c r="CE24" s="11"/>
      <c r="CF24" s="11"/>
      <c r="CG24" s="11"/>
      <c r="CH24" s="11"/>
      <c r="CK24" s="63" t="s">
        <v>34</v>
      </c>
      <c r="CL24" s="55"/>
    </row>
    <row r="25" ht="16.5" customHeight="1" spans="1:90" x14ac:dyDescent="0.25">
      <c r="A25" s="63">
        <v>6</v>
      </c>
      <c r="B25" s="55"/>
      <c r="C25" s="85" t="s">
        <v>35</v>
      </c>
      <c r="D25" s="55"/>
      <c r="E25" s="64"/>
      <c r="F25" s="65"/>
      <c r="G25" s="66"/>
      <c r="H25" s="55"/>
      <c r="I25" s="64"/>
      <c r="J25" s="65"/>
      <c r="K25" s="66"/>
      <c r="L25" s="55"/>
      <c r="M25" s="67"/>
      <c r="N25" s="55"/>
      <c r="O25" s="68"/>
      <c r="P25" s="26"/>
      <c r="Q25" s="26"/>
      <c r="R25" s="55"/>
      <c r="S25" s="68"/>
      <c r="T25" s="26"/>
      <c r="U25" s="26"/>
      <c r="V25" s="55"/>
      <c r="W25" s="68"/>
      <c r="X25" s="26"/>
      <c r="Y25" s="26"/>
      <c r="Z25" s="55"/>
      <c r="AA25" s="68"/>
      <c r="AB25" s="26"/>
      <c r="AC25" s="26"/>
      <c r="AD25" s="55"/>
      <c r="AE25" s="69"/>
      <c r="AF25" s="26"/>
      <c r="AG25" s="26"/>
      <c r="AH25" s="26"/>
      <c r="AI25" s="26"/>
      <c r="AJ25" s="70"/>
      <c r="AK25" s="26"/>
      <c r="AL25" s="26"/>
      <c r="AM25" s="71"/>
      <c r="AN25" s="72"/>
      <c r="AO25" s="55"/>
      <c r="AP25" s="73">
        <f t="shared" si="10"/>
      </c>
      <c r="AQ25" s="94" t="s">
        <v>64</v>
      </c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37"/>
      <c r="BC25" s="3"/>
      <c r="BD25" s="3">
        <f t="shared" si="11"/>
        <v>0</v>
      </c>
      <c r="BE25" s="11">
        <f t="shared" si="62"/>
        <v>2026</v>
      </c>
      <c r="BF25" s="11">
        <f t="shared" si="63"/>
        <v>9</v>
      </c>
      <c r="BG25" s="11" t="str">
        <f t="shared" si="14"/>
        <v>2026/9/6</v>
      </c>
      <c r="BH25" s="79">
        <f>IF(OR(COUNTIF(祝祭日!$A:$A,$BG25)&gt;=1,OR(C25="土",C25="日",C25="",BD25=1)),0,1)</f>
        <v>0</v>
      </c>
      <c r="BI25" s="11">
        <f t="shared" si="15"/>
        <v>0</v>
      </c>
      <c r="BJ25" s="11">
        <f t="shared" si="16"/>
        <v>0</v>
      </c>
      <c r="BK25" s="80">
        <f t="shared" si="17"/>
        <v>0</v>
      </c>
      <c r="BL25" s="16">
        <f t="shared" si="18"/>
        <v>0</v>
      </c>
      <c r="BM25" s="31">
        <f t="shared" si="19"/>
        <v>0</v>
      </c>
      <c r="BN25" s="81">
        <f t="shared" ref="BN25:BQ25" si="76">TEXT(MAX(0,MIN($BM25,BN$7)-MAX($BL25,BN$6)),"h:mm")*24</f>
        <v>0</v>
      </c>
      <c r="BO25" s="82">
        <f t="shared" si="76"/>
        <v>0</v>
      </c>
      <c r="BP25" s="82">
        <f t="shared" si="76"/>
        <v>0</v>
      </c>
      <c r="BQ25" s="82">
        <f t="shared" si="76"/>
        <v>0</v>
      </c>
      <c r="BR25" s="82">
        <f t="shared" si="21"/>
        <v>0</v>
      </c>
      <c r="BS25" s="82">
        <f t="shared" ref="BS25:BT25" si="77">TEXT(MAX(0,MIN($BM25,BS$7)-MAX($BL25,BS$6)),"h:mm")*24</f>
        <v>0</v>
      </c>
      <c r="BT25" s="83">
        <f t="shared" si="77"/>
        <v>0</v>
      </c>
      <c r="BU25" s="82">
        <f t="shared" si="23"/>
        <v>0</v>
      </c>
      <c r="BV25" s="82">
        <f t="shared" si="24"/>
        <v>0</v>
      </c>
      <c r="BW25" s="82">
        <f t="shared" si="25"/>
        <v>0</v>
      </c>
      <c r="BX25" s="82">
        <f t="shared" si="26"/>
        <v>0</v>
      </c>
      <c r="BY25" s="82">
        <f t="shared" si="27"/>
        <v>0</v>
      </c>
      <c r="BZ25" s="84">
        <f t="shared" si="28"/>
        <v>0</v>
      </c>
      <c r="CA25" s="84">
        <f t="shared" si="29"/>
        <v>0</v>
      </c>
      <c r="CB25" s="84">
        <f t="shared" si="30"/>
        <v>0</v>
      </c>
      <c r="CC25" s="82">
        <f t="shared" si="31"/>
        <v>0</v>
      </c>
      <c r="CD25" s="11">
        <f t="shared" si="32"/>
        <v>0</v>
      </c>
      <c r="CE25" s="11"/>
      <c r="CF25" s="11"/>
      <c r="CG25" s="11"/>
      <c r="CH25" s="11"/>
      <c r="CK25" s="63" t="s">
        <v>76</v>
      </c>
      <c r="CL25" s="55"/>
    </row>
    <row r="26" ht="16.5" customHeight="1" spans="1:90" x14ac:dyDescent="0.25">
      <c r="A26" s="63">
        <v>7</v>
      </c>
      <c r="B26" s="55"/>
      <c r="C26" s="63" t="s">
        <v>34</v>
      </c>
      <c r="D26" s="55"/>
      <c r="E26" s="64"/>
      <c r="F26" s="65"/>
      <c r="G26" s="66"/>
      <c r="H26" s="55"/>
      <c r="I26" s="64"/>
      <c r="J26" s="65"/>
      <c r="K26" s="66"/>
      <c r="L26" s="55"/>
      <c r="M26" s="67">
        <f>IF(E26="","",IF((BO26+BQ26)=0,"",(BO26+BQ26)*60))</f>
        <v>60</v>
      </c>
      <c r="N26" s="55"/>
      <c r="O26" s="68">
        <f t="shared" ref="O26" si="78">IF(E26&lt;&gt;"",IF(BU26&lt;&gt;0,BU26/24,""),"")</f>
        <v>0.3229166666678793</v>
      </c>
      <c r="P26" s="26"/>
      <c r="Q26" s="26"/>
      <c r="R26" s="55"/>
      <c r="S26" s="68">
        <f t="shared" si="61"/>
      </c>
      <c r="T26" s="26"/>
      <c r="U26" s="26"/>
      <c r="V26" s="55"/>
      <c r="W26" s="68">
        <f t="shared" si="8"/>
      </c>
      <c r="X26" s="26"/>
      <c r="Y26" s="26"/>
      <c r="Z26" s="55"/>
      <c r="AA26" s="68">
        <f t="shared" ref="AA26:AA35" si="79">IF(E26&lt;&gt;"",IF(CA26&lt;&gt;0,CA26/24,""),"")</f>
      </c>
      <c r="AB26" s="26"/>
      <c r="AC26" s="26"/>
      <c r="AD26" s="55"/>
      <c r="AE26" s="69"/>
      <c r="AF26" s="26"/>
      <c r="AG26" s="26"/>
      <c r="AH26" s="26"/>
      <c r="AI26" s="26"/>
      <c r="AJ26" s="70"/>
      <c r="AK26" s="26"/>
      <c r="AL26" s="26"/>
      <c r="AM26" s="71"/>
      <c r="AN26" s="72"/>
      <c r="AO26" s="55"/>
      <c r="AP26" s="73">
        <f t="shared" si="10"/>
      </c>
      <c r="AQ26" s="47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48"/>
      <c r="BC26" s="3"/>
      <c r="BD26" s="3">
        <f t="shared" si="11"/>
        <v>0</v>
      </c>
      <c r="BE26" s="11">
        <f t="shared" si="62"/>
        <v>2026</v>
      </c>
      <c r="BF26" s="11">
        <f t="shared" si="63"/>
        <v>9</v>
      </c>
      <c r="BG26" s="11" t="str">
        <f t="shared" si="14"/>
        <v>2026/9/7</v>
      </c>
      <c r="BH26" s="79">
        <f>IF(OR(COUNTIF(祝祭日!$A:$A,$BG26)&gt;=1,OR(C26="土",C26="日",C26="",BD26=1)),0,1)</f>
        <v>1</v>
      </c>
      <c r="BI26" s="11">
        <f t="shared" si="15"/>
        <v>0</v>
      </c>
      <c r="BJ26" s="11">
        <f t="shared" si="16"/>
        <v>0</v>
      </c>
      <c r="BK26" s="80">
        <f t="shared" si="17"/>
        <v>0</v>
      </c>
      <c r="BL26" s="16">
        <f t="shared" si="18"/>
        <v>0.375</v>
      </c>
      <c r="BM26" s="31">
        <f t="shared" si="19"/>
        <v>0.7395833333321207</v>
      </c>
      <c r="BN26" s="81">
        <f t="shared" ref="BN26:BQ26" si="80">TEXT(MAX(0,MIN($BM26,BN$7)-MAX($BL26,BN$6)),"h:mm")*24</f>
        <v>3</v>
      </c>
      <c r="BO26" s="82">
        <f t="shared" si="80"/>
        <v>1</v>
      </c>
      <c r="BP26" s="82">
        <f t="shared" si="80"/>
        <v>4.75</v>
      </c>
      <c r="BQ26" s="82">
        <f t="shared" si="80"/>
        <v>0</v>
      </c>
      <c r="BR26" s="82">
        <f t="shared" si="21"/>
        <v>0</v>
      </c>
      <c r="BS26" s="82">
        <f t="shared" ref="BS26:BT26" si="81">TEXT(MAX(0,MIN($BM26,BS$7)-MAX($BL26,BS$6)),"h:mm")*24</f>
        <v>0</v>
      </c>
      <c r="BT26" s="83">
        <f t="shared" si="81"/>
        <v>0</v>
      </c>
      <c r="BU26" s="82">
        <f t="shared" si="23"/>
        <v>7.75</v>
      </c>
      <c r="BV26" s="82">
        <f t="shared" si="24"/>
        <v>0</v>
      </c>
      <c r="BW26" s="82">
        <f t="shared" si="25"/>
        <v>0</v>
      </c>
      <c r="BX26" s="82">
        <f t="shared" si="26"/>
        <v>0</v>
      </c>
      <c r="BY26" s="82">
        <f t="shared" si="27"/>
        <v>0</v>
      </c>
      <c r="BZ26" s="84">
        <f t="shared" si="28"/>
        <v>0</v>
      </c>
      <c r="CA26" s="84">
        <f t="shared" si="29"/>
        <v>0</v>
      </c>
      <c r="CB26" s="84">
        <f t="shared" si="30"/>
        <v>0</v>
      </c>
      <c r="CC26" s="82">
        <f t="shared" si="31"/>
        <v>0</v>
      </c>
      <c r="CD26" s="11">
        <f t="shared" si="32"/>
        <v>0</v>
      </c>
      <c r="CE26" s="11"/>
      <c r="CF26" s="11"/>
      <c r="CG26" s="11"/>
      <c r="CH26" s="11"/>
      <c r="CK26" s="63" t="s">
        <v>77</v>
      </c>
      <c r="CL26" s="55"/>
    </row>
    <row r="27" ht="16.5" customHeight="1" spans="1:90" x14ac:dyDescent="0.25">
      <c r="A27" s="63">
        <v>8</v>
      </c>
      <c r="B27" s="55"/>
      <c r="C27" s="63" t="s">
        <v>76</v>
      </c>
      <c r="D27" s="55"/>
      <c r="E27" s="64"/>
      <c r="F27" s="65"/>
      <c r="G27" s="66"/>
      <c r="H27" s="55"/>
      <c r="I27" s="64"/>
      <c r="J27" s="65"/>
      <c r="K27" s="66"/>
      <c r="L27" s="55"/>
      <c r="M27" s="67">
        <f>IF(E27="","",IF((BO27+BQ27)=0,"",(BO27+BQ27)*60))</f>
        <v>60</v>
      </c>
      <c r="N27" s="55"/>
      <c r="O27" s="68">
        <f t="shared" ref="O27:O28" si="82">IF(E27&lt;&gt;"",IF(BU27&lt;&gt;0,BU27/24,""),"")</f>
        <v>0.3229166666678793</v>
      </c>
      <c r="P27" s="26"/>
      <c r="Q27" s="26"/>
      <c r="R27" s="55"/>
      <c r="S27" s="68">
        <f t="shared" si="61"/>
      </c>
      <c r="T27" s="26"/>
      <c r="U27" s="26"/>
      <c r="V27" s="55"/>
      <c r="W27" s="68">
        <f t="shared" si="8"/>
      </c>
      <c r="X27" s="26"/>
      <c r="Y27" s="26"/>
      <c r="Z27" s="55"/>
      <c r="AA27" s="68">
        <f t="shared" si="79"/>
      </c>
      <c r="AB27" s="26"/>
      <c r="AC27" s="26"/>
      <c r="AD27" s="55"/>
      <c r="AE27" s="69"/>
      <c r="AF27" s="26"/>
      <c r="AG27" s="26"/>
      <c r="AH27" s="26"/>
      <c r="AI27" s="26"/>
      <c r="AJ27" s="70"/>
      <c r="AK27" s="26"/>
      <c r="AL27" s="26"/>
      <c r="AM27" s="71"/>
      <c r="AN27" s="72"/>
      <c r="AO27" s="55"/>
      <c r="AP27" s="73">
        <f t="shared" si="10"/>
      </c>
      <c r="AQ27" s="54" t="s">
        <v>87</v>
      </c>
      <c r="AR27" s="26"/>
      <c r="AS27" s="26"/>
      <c r="AT27" s="26"/>
      <c r="AU27" s="26"/>
      <c r="AV27" s="55"/>
      <c r="AW27" s="95">
        <v>15</v>
      </c>
      <c r="AX27" s="26"/>
      <c r="AY27" s="26"/>
      <c r="AZ27" s="26"/>
      <c r="BA27" s="77" t="s">
        <v>55</v>
      </c>
      <c r="BB27" s="78"/>
      <c r="BC27" s="3"/>
      <c r="BD27" s="3">
        <f t="shared" si="11"/>
        <v>0</v>
      </c>
      <c r="BE27" s="11">
        <f t="shared" si="62"/>
        <v>2026</v>
      </c>
      <c r="BF27" s="11">
        <f t="shared" si="63"/>
        <v>9</v>
      </c>
      <c r="BG27" s="11" t="str">
        <f t="shared" si="14"/>
        <v>2026/9/8</v>
      </c>
      <c r="BH27" s="79">
        <f>IF(OR(COUNTIF(祝祭日!$A:$A,$BG27)&gt;=1,OR(C27="土",C27="日",C27="",BD27=1)),0,1)</f>
        <v>1</v>
      </c>
      <c r="BI27" s="11">
        <f t="shared" si="15"/>
        <v>0</v>
      </c>
      <c r="BJ27" s="11">
        <f t="shared" si="16"/>
        <v>0</v>
      </c>
      <c r="BK27" s="80">
        <f t="shared" si="17"/>
        <v>0</v>
      </c>
      <c r="BL27" s="16">
        <f t="shared" si="18"/>
        <v>0.375</v>
      </c>
      <c r="BM27" s="31">
        <f t="shared" si="19"/>
        <v>0.7395833333321207</v>
      </c>
      <c r="BN27" s="81">
        <f t="shared" ref="BN27:BQ27" si="83">TEXT(MAX(0,MIN($BM27,BN$7)-MAX($BL27,BN$6)),"h:mm")*24</f>
        <v>3</v>
      </c>
      <c r="BO27" s="82">
        <f t="shared" si="83"/>
        <v>1</v>
      </c>
      <c r="BP27" s="82">
        <f t="shared" si="83"/>
        <v>4.75</v>
      </c>
      <c r="BQ27" s="82">
        <f t="shared" si="83"/>
        <v>0</v>
      </c>
      <c r="BR27" s="82">
        <f t="shared" si="21"/>
        <v>0</v>
      </c>
      <c r="BS27" s="82">
        <f t="shared" ref="BS27:BT27" si="84">TEXT(MAX(0,MIN($BM27,BS$7)-MAX($BL27,BS$6)),"h:mm")*24</f>
        <v>0</v>
      </c>
      <c r="BT27" s="83">
        <f t="shared" si="84"/>
        <v>0</v>
      </c>
      <c r="BU27" s="82">
        <f t="shared" si="23"/>
        <v>7.75</v>
      </c>
      <c r="BV27" s="82">
        <f t="shared" si="24"/>
        <v>0</v>
      </c>
      <c r="BW27" s="82">
        <f t="shared" si="25"/>
        <v>0</v>
      </c>
      <c r="BX27" s="82">
        <f t="shared" si="26"/>
        <v>0</v>
      </c>
      <c r="BY27" s="82">
        <f t="shared" si="27"/>
        <v>0</v>
      </c>
      <c r="BZ27" s="84">
        <f t="shared" si="28"/>
        <v>0</v>
      </c>
      <c r="CA27" s="84">
        <f t="shared" si="29"/>
        <v>0</v>
      </c>
      <c r="CB27" s="84">
        <f t="shared" si="30"/>
        <v>0</v>
      </c>
      <c r="CC27" s="82">
        <f t="shared" si="31"/>
        <v>0</v>
      </c>
      <c r="CD27" s="11">
        <f t="shared" si="32"/>
        <v>0</v>
      </c>
      <c r="CE27" s="11"/>
      <c r="CF27" s="11"/>
      <c r="CG27" s="11"/>
      <c r="CH27" s="11"/>
      <c r="CK27" s="63" t="s">
        <v>78</v>
      </c>
      <c r="CL27" s="55"/>
    </row>
    <row r="28" ht="16.5" customHeight="1" spans="1:90" x14ac:dyDescent="0.25">
      <c r="A28" s="63">
        <v>9</v>
      </c>
      <c r="B28" s="55"/>
      <c r="C28" s="63" t="s">
        <v>77</v>
      </c>
      <c r="D28" s="55"/>
      <c r="E28" s="64"/>
      <c r="F28" s="65"/>
      <c r="G28" s="66"/>
      <c r="H28" s="55"/>
      <c r="I28" s="64"/>
      <c r="J28" s="65"/>
      <c r="K28" s="66"/>
      <c r="L28" s="55"/>
      <c r="M28" s="67">
        <f>IF(E28="","",IF((BO28+BQ28)=0,"",(BO28+BQ28)*60))</f>
        <v>60</v>
      </c>
      <c r="N28" s="55"/>
      <c r="O28" s="68">
        <f t="shared" si="82"/>
        <v>0.3229166666678793</v>
      </c>
      <c r="P28" s="26"/>
      <c r="Q28" s="26"/>
      <c r="R28" s="55"/>
      <c r="S28" s="68">
        <f t="shared" si="61"/>
      </c>
      <c r="T28" s="26"/>
      <c r="U28" s="26"/>
      <c r="V28" s="55"/>
      <c r="W28" s="68">
        <f t="shared" si="8"/>
      </c>
      <c r="X28" s="26"/>
      <c r="Y28" s="26"/>
      <c r="Z28" s="55"/>
      <c r="AA28" s="68">
        <f t="shared" si="79"/>
      </c>
      <c r="AB28" s="26"/>
      <c r="AC28" s="26"/>
      <c r="AD28" s="55"/>
      <c r="AE28" s="69"/>
      <c r="AF28" s="26"/>
      <c r="AG28" s="26"/>
      <c r="AH28" s="26"/>
      <c r="AI28" s="26"/>
      <c r="AJ28" s="70"/>
      <c r="AK28" s="26"/>
      <c r="AL28" s="26"/>
      <c r="AM28" s="71"/>
      <c r="AN28" s="72"/>
      <c r="AO28" s="55"/>
      <c r="AP28" s="73">
        <f t="shared" si="10"/>
      </c>
      <c r="AQ28" s="94" t="s">
        <v>88</v>
      </c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37"/>
      <c r="BC28" s="3"/>
      <c r="BD28" s="3">
        <f t="shared" si="11"/>
        <v>0</v>
      </c>
      <c r="BE28" s="11">
        <f t="shared" si="62"/>
        <v>2026</v>
      </c>
      <c r="BF28" s="11">
        <f t="shared" si="63"/>
        <v>9</v>
      </c>
      <c r="BG28" s="11" t="str">
        <f t="shared" si="14"/>
        <v>2026/9/9</v>
      </c>
      <c r="BH28" s="79">
        <f>IF(OR(COUNTIF(祝祭日!$A:$A,$BG28)&gt;=1,OR(C28="土",C28="日",C28="",BD28=1)),0,1)</f>
        <v>1</v>
      </c>
      <c r="BI28" s="11">
        <f t="shared" si="15"/>
        <v>0</v>
      </c>
      <c r="BJ28" s="11">
        <f t="shared" si="16"/>
        <v>0</v>
      </c>
      <c r="BK28" s="80">
        <f t="shared" si="17"/>
        <v>0</v>
      </c>
      <c r="BL28" s="16">
        <f t="shared" si="18"/>
        <v>0.375</v>
      </c>
      <c r="BM28" s="31">
        <f t="shared" si="19"/>
        <v>0.7395833333321207</v>
      </c>
      <c r="BN28" s="81">
        <f t="shared" ref="BN28:BQ28" si="85">TEXT(MAX(0,MIN($BM28,BN$7)-MAX($BL28,BN$6)),"h:mm")*24</f>
        <v>3</v>
      </c>
      <c r="BO28" s="82">
        <f t="shared" si="85"/>
        <v>1</v>
      </c>
      <c r="BP28" s="82">
        <f t="shared" si="85"/>
        <v>4.75</v>
      </c>
      <c r="BQ28" s="82">
        <f t="shared" si="85"/>
        <v>0</v>
      </c>
      <c r="BR28" s="82">
        <f t="shared" si="21"/>
        <v>0</v>
      </c>
      <c r="BS28" s="82">
        <f t="shared" ref="BS28:BT28" si="86">TEXT(MAX(0,MIN($BM28,BS$7)-MAX($BL28,BS$6)),"h:mm")*24</f>
        <v>0</v>
      </c>
      <c r="BT28" s="83">
        <f t="shared" si="86"/>
        <v>0</v>
      </c>
      <c r="BU28" s="82">
        <f t="shared" si="23"/>
        <v>7.75</v>
      </c>
      <c r="BV28" s="82">
        <f t="shared" si="24"/>
        <v>0</v>
      </c>
      <c r="BW28" s="82">
        <f t="shared" si="25"/>
        <v>0</v>
      </c>
      <c r="BX28" s="82">
        <f t="shared" si="26"/>
        <v>0</v>
      </c>
      <c r="BY28" s="82">
        <f t="shared" si="27"/>
        <v>0</v>
      </c>
      <c r="BZ28" s="84">
        <f t="shared" si="28"/>
        <v>0</v>
      </c>
      <c r="CA28" s="84">
        <f t="shared" si="29"/>
        <v>0</v>
      </c>
      <c r="CB28" s="84">
        <f t="shared" si="30"/>
        <v>0</v>
      </c>
      <c r="CC28" s="82">
        <f t="shared" si="31"/>
        <v>0</v>
      </c>
      <c r="CD28" s="11">
        <f t="shared" si="32"/>
        <v>0</v>
      </c>
      <c r="CE28" s="11"/>
      <c r="CF28" s="11"/>
      <c r="CG28" s="11"/>
      <c r="CH28" s="11"/>
      <c r="CK28" s="63" t="s">
        <v>73</v>
      </c>
      <c r="CL28" s="55"/>
    </row>
    <row r="29" ht="16.5" customHeight="1" spans="1:90" x14ac:dyDescent="0.25">
      <c r="A29" s="63">
        <v>10</v>
      </c>
      <c r="B29" s="55"/>
      <c r="C29" s="63" t="s">
        <v>78</v>
      </c>
      <c r="D29" s="55"/>
      <c r="E29" s="64"/>
      <c r="F29" s="65"/>
      <c r="G29" s="66"/>
      <c r="H29" s="55"/>
      <c r="I29" s="64"/>
      <c r="J29" s="65"/>
      <c r="K29" s="66"/>
      <c r="L29" s="55"/>
      <c r="M29" s="67">
        <f t="shared" ref="M29" si="87">IF(E29="","",IF((BO29+BQ29)=0,"",(BO29+BQ29)*60))</f>
        <v>60</v>
      </c>
      <c r="N29" s="55"/>
      <c r="O29" s="68">
        <f t="shared" ref="O29:O30" si="88">IF(E29&lt;&gt;"",IF(BU29&lt;&gt;0,BU29/24,""),"")</f>
        <v>0.3229166666678793</v>
      </c>
      <c r="P29" s="26"/>
      <c r="Q29" s="26"/>
      <c r="R29" s="55"/>
      <c r="S29" s="68">
        <f t="shared" si="61"/>
      </c>
      <c r="T29" s="26"/>
      <c r="U29" s="26"/>
      <c r="V29" s="55"/>
      <c r="W29" s="68">
        <f t="shared" si="8"/>
      </c>
      <c r="X29" s="26"/>
      <c r="Y29" s="26"/>
      <c r="Z29" s="55"/>
      <c r="AA29" s="68">
        <f t="shared" si="79"/>
      </c>
      <c r="AB29" s="26"/>
      <c r="AC29" s="26"/>
      <c r="AD29" s="55"/>
      <c r="AE29" s="69"/>
      <c r="AF29" s="26"/>
      <c r="AG29" s="26"/>
      <c r="AH29" s="26"/>
      <c r="AI29" s="26"/>
      <c r="AJ29" s="70"/>
      <c r="AK29" s="26"/>
      <c r="AL29" s="26"/>
      <c r="AM29" s="71"/>
      <c r="AN29" s="72"/>
      <c r="AO29" s="55"/>
      <c r="AP29" s="73">
        <f t="shared" si="10"/>
      </c>
      <c r="AQ29" s="47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48"/>
      <c r="BC29" s="3"/>
      <c r="BD29" s="3">
        <f t="shared" si="11"/>
        <v>0</v>
      </c>
      <c r="BE29" s="11">
        <f t="shared" si="62"/>
        <v>2026</v>
      </c>
      <c r="BF29" s="11">
        <f t="shared" si="63"/>
        <v>9</v>
      </c>
      <c r="BG29" s="11" t="str">
        <f t="shared" si="14"/>
        <v>2026/9/10</v>
      </c>
      <c r="BH29" s="79">
        <f>IF(OR(COUNTIF(祝祭日!$A:$A,$BG29)&gt;=1,OR(C29="土",C29="日",C29="",BD29=1)),0,1)</f>
        <v>1</v>
      </c>
      <c r="BI29" s="11">
        <f t="shared" si="15"/>
        <v>0</v>
      </c>
      <c r="BJ29" s="11">
        <f t="shared" si="16"/>
        <v>0</v>
      </c>
      <c r="BK29" s="80">
        <f t="shared" si="17"/>
        <v>0</v>
      </c>
      <c r="BL29" s="16">
        <f t="shared" si="18"/>
        <v>0.375</v>
      </c>
      <c r="BM29" s="31">
        <f t="shared" si="19"/>
        <v>0.7395833333321207</v>
      </c>
      <c r="BN29" s="81">
        <f t="shared" ref="BN29:BQ29" si="89">TEXT(MAX(0,MIN($BM29,BN$7)-MAX($BL29,BN$6)),"h:mm")*24</f>
        <v>3</v>
      </c>
      <c r="BO29" s="82">
        <f t="shared" si="89"/>
        <v>1</v>
      </c>
      <c r="BP29" s="82">
        <f t="shared" si="89"/>
        <v>4.75</v>
      </c>
      <c r="BQ29" s="82">
        <f t="shared" si="89"/>
        <v>0</v>
      </c>
      <c r="BR29" s="82">
        <f t="shared" si="21"/>
        <v>0</v>
      </c>
      <c r="BS29" s="82">
        <f t="shared" ref="BS29:BT29" si="90">TEXT(MAX(0,MIN($BM29,BS$7)-MAX($BL29,BS$6)),"h:mm")*24</f>
        <v>0</v>
      </c>
      <c r="BT29" s="83">
        <f t="shared" si="90"/>
        <v>0</v>
      </c>
      <c r="BU29" s="82">
        <f t="shared" si="23"/>
        <v>7.75</v>
      </c>
      <c r="BV29" s="82">
        <f t="shared" si="24"/>
        <v>0</v>
      </c>
      <c r="BW29" s="82">
        <f t="shared" si="25"/>
        <v>0</v>
      </c>
      <c r="BX29" s="82">
        <f t="shared" si="26"/>
        <v>0</v>
      </c>
      <c r="BY29" s="82">
        <f t="shared" si="27"/>
        <v>0</v>
      </c>
      <c r="BZ29" s="84">
        <f t="shared" si="28"/>
        <v>0</v>
      </c>
      <c r="CA29" s="84">
        <f t="shared" si="29"/>
        <v>0</v>
      </c>
      <c r="CB29" s="84">
        <f t="shared" si="30"/>
        <v>0</v>
      </c>
      <c r="CC29" s="82">
        <f t="shared" si="31"/>
        <v>0</v>
      </c>
      <c r="CD29" s="11">
        <f t="shared" si="32"/>
        <v>0</v>
      </c>
      <c r="CE29" s="11"/>
      <c r="CF29" s="11"/>
      <c r="CG29" s="11"/>
      <c r="CH29" s="11"/>
      <c r="CK29" s="85" t="s">
        <v>74</v>
      </c>
      <c r="CL29" s="55"/>
    </row>
    <row r="30" ht="16.5" customHeight="1" spans="1:90" x14ac:dyDescent="0.25">
      <c r="A30" s="63">
        <v>11</v>
      </c>
      <c r="B30" s="55"/>
      <c r="C30" s="63" t="s">
        <v>73</v>
      </c>
      <c r="D30" s="55"/>
      <c r="E30" s="64"/>
      <c r="F30" s="65"/>
      <c r="G30" s="66"/>
      <c r="H30" s="55"/>
      <c r="I30" s="64"/>
      <c r="J30" s="65"/>
      <c r="K30" s="66"/>
      <c r="L30" s="55"/>
      <c r="M30" s="67">
        <f>IF(E30="","",IF((BO30+BQ30)=0,"",(BO30+BQ30)*60))</f>
        <v>60</v>
      </c>
      <c r="N30" s="55"/>
      <c r="O30" s="68">
        <f t="shared" si="88"/>
        <v>0.3229166666678793</v>
      </c>
      <c r="P30" s="26"/>
      <c r="Q30" s="26"/>
      <c r="R30" s="55"/>
      <c r="S30" s="68"/>
      <c r="T30" s="26"/>
      <c r="U30" s="26"/>
      <c r="V30" s="55"/>
      <c r="W30" s="68"/>
      <c r="X30" s="26"/>
      <c r="Y30" s="26"/>
      <c r="Z30" s="55"/>
      <c r="AA30" s="68"/>
      <c r="AB30" s="26"/>
      <c r="AC30" s="26"/>
      <c r="AD30" s="55"/>
      <c r="AE30" s="69"/>
      <c r="AF30" s="26"/>
      <c r="AG30" s="26"/>
      <c r="AH30" s="26"/>
      <c r="AI30" s="26"/>
      <c r="AJ30" s="70"/>
      <c r="AK30" s="26"/>
      <c r="AL30" s="26"/>
      <c r="AM30" s="71"/>
      <c r="AN30" s="72"/>
      <c r="AO30" s="55"/>
      <c r="AP30" s="73">
        <f t="shared" si="10"/>
      </c>
      <c r="AQ30" s="54" t="s">
        <v>89</v>
      </c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55"/>
      <c r="BC30" s="3"/>
      <c r="BD30" s="3">
        <f t="shared" si="11"/>
        <v>0</v>
      </c>
      <c r="BE30" s="11">
        <f t="shared" si="62"/>
        <v>2026</v>
      </c>
      <c r="BF30" s="11">
        <f t="shared" si="63"/>
        <v>9</v>
      </c>
      <c r="BG30" s="11" t="str">
        <f t="shared" si="14"/>
        <v>2026/9/11</v>
      </c>
      <c r="BH30" s="79">
        <f>IF(OR(COUNTIF(祝祭日!$A:$A,$BG30)&gt;=1,OR(C30="土",C30="日",C30="",BD30=1)),0,1)</f>
        <v>1</v>
      </c>
      <c r="BI30" s="11">
        <f t="shared" si="15"/>
        <v>0</v>
      </c>
      <c r="BJ30" s="11">
        <f t="shared" si="16"/>
        <v>0</v>
      </c>
      <c r="BK30" s="80">
        <f t="shared" si="17"/>
        <v>0</v>
      </c>
      <c r="BL30" s="16">
        <f t="shared" si="18"/>
        <v>0.375</v>
      </c>
      <c r="BM30" s="31">
        <f t="shared" si="19"/>
        <v>0.7395833333321207</v>
      </c>
      <c r="BN30" s="81">
        <f t="shared" ref="BN30:BQ30" si="91">TEXT(MAX(0,MIN($BM30,BN$7)-MAX($BL30,BN$6)),"h:mm")*24</f>
        <v>3</v>
      </c>
      <c r="BO30" s="82">
        <f t="shared" si="91"/>
        <v>1</v>
      </c>
      <c r="BP30" s="82">
        <f t="shared" si="91"/>
        <v>4.75</v>
      </c>
      <c r="BQ30" s="82">
        <f t="shared" si="91"/>
        <v>0</v>
      </c>
      <c r="BR30" s="82">
        <f t="shared" si="21"/>
        <v>0</v>
      </c>
      <c r="BS30" s="82">
        <f t="shared" ref="BS30:BT30" si="92">TEXT(MAX(0,MIN($BM30,BS$7)-MAX($BL30,BS$6)),"h:mm")*24</f>
        <v>0</v>
      </c>
      <c r="BT30" s="83">
        <f t="shared" si="92"/>
        <v>0</v>
      </c>
      <c r="BU30" s="82">
        <f t="shared" si="23"/>
        <v>7.75</v>
      </c>
      <c r="BV30" s="82">
        <f t="shared" si="24"/>
        <v>0</v>
      </c>
      <c r="BW30" s="82">
        <f t="shared" si="25"/>
        <v>0</v>
      </c>
      <c r="BX30" s="82">
        <f t="shared" si="26"/>
        <v>0</v>
      </c>
      <c r="BY30" s="82">
        <f t="shared" si="27"/>
        <v>0</v>
      </c>
      <c r="BZ30" s="84">
        <f t="shared" si="28"/>
        <v>0</v>
      </c>
      <c r="CA30" s="84">
        <f t="shared" si="29"/>
        <v>0</v>
      </c>
      <c r="CB30" s="84">
        <f t="shared" si="30"/>
        <v>0</v>
      </c>
      <c r="CC30" s="82">
        <f t="shared" si="31"/>
        <v>0</v>
      </c>
      <c r="CD30" s="11">
        <f t="shared" si="32"/>
        <v>0</v>
      </c>
      <c r="CE30" s="11"/>
      <c r="CF30" s="11"/>
      <c r="CG30" s="11"/>
      <c r="CH30" s="11"/>
      <c r="CK30" s="85" t="s">
        <v>35</v>
      </c>
      <c r="CL30" s="55"/>
    </row>
    <row r="31" ht="16.5" customHeight="1" spans="1:90" x14ac:dyDescent="0.25">
      <c r="A31" s="63">
        <v>12</v>
      </c>
      <c r="B31" s="55"/>
      <c r="C31" s="85" t="s">
        <v>74</v>
      </c>
      <c r="D31" s="55"/>
      <c r="E31" s="64"/>
      <c r="F31" s="65"/>
      <c r="G31" s="66"/>
      <c r="H31" s="55"/>
      <c r="I31" s="64"/>
      <c r="J31" s="65"/>
      <c r="K31" s="66"/>
      <c r="L31" s="55"/>
      <c r="M31" s="67"/>
      <c r="N31" s="55"/>
      <c r="O31" s="68"/>
      <c r="P31" s="26"/>
      <c r="Q31" s="26"/>
      <c r="R31" s="55"/>
      <c r="S31" s="68"/>
      <c r="T31" s="26"/>
      <c r="U31" s="26"/>
      <c r="V31" s="55"/>
      <c r="W31" s="68"/>
      <c r="X31" s="26"/>
      <c r="Y31" s="26"/>
      <c r="Z31" s="55"/>
      <c r="AA31" s="68"/>
      <c r="AB31" s="26"/>
      <c r="AC31" s="26"/>
      <c r="AD31" s="55"/>
      <c r="AE31" s="69"/>
      <c r="AF31" s="26"/>
      <c r="AG31" s="26"/>
      <c r="AH31" s="26"/>
      <c r="AI31" s="26"/>
      <c r="AJ31" s="70"/>
      <c r="AK31" s="26"/>
      <c r="AL31" s="26"/>
      <c r="AM31" s="71"/>
      <c r="AN31" s="72"/>
      <c r="AO31" s="55"/>
      <c r="AP31" s="73">
        <f t="shared" si="10"/>
      </c>
      <c r="AQ31" s="96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37"/>
      <c r="BC31" s="3"/>
      <c r="BD31" s="3">
        <f t="shared" si="11"/>
        <v>0</v>
      </c>
      <c r="BE31" s="11">
        <f t="shared" si="62"/>
        <v>2026</v>
      </c>
      <c r="BF31" s="11">
        <f t="shared" si="63"/>
        <v>9</v>
      </c>
      <c r="BG31" s="11" t="str">
        <f t="shared" si="14"/>
        <v>2026/9/12</v>
      </c>
      <c r="BH31" s="79">
        <f>IF(OR(COUNTIF(祝祭日!$A:$A,$BG31)&gt;=1,OR(C31="土",C31="日",C31="",BD31=1)),0,1)</f>
        <v>0</v>
      </c>
      <c r="BI31" s="11">
        <f t="shared" si="15"/>
        <v>0</v>
      </c>
      <c r="BJ31" s="11">
        <f t="shared" si="16"/>
        <v>0</v>
      </c>
      <c r="BK31" s="80">
        <f t="shared" si="17"/>
        <v>0</v>
      </c>
      <c r="BL31" s="16">
        <f t="shared" si="18"/>
        <v>0</v>
      </c>
      <c r="BM31" s="31">
        <f t="shared" si="19"/>
        <v>0</v>
      </c>
      <c r="BN31" s="81">
        <f t="shared" ref="BN31:BQ31" si="93">TEXT(MAX(0,MIN($BM31,BN$7)-MAX($BL31,BN$6)),"h:mm")*24</f>
        <v>0</v>
      </c>
      <c r="BO31" s="82">
        <f t="shared" si="93"/>
        <v>0</v>
      </c>
      <c r="BP31" s="82">
        <f t="shared" si="93"/>
        <v>0</v>
      </c>
      <c r="BQ31" s="82">
        <f t="shared" si="93"/>
        <v>0</v>
      </c>
      <c r="BR31" s="82">
        <f t="shared" si="21"/>
        <v>0</v>
      </c>
      <c r="BS31" s="82">
        <f t="shared" ref="BS31:BT31" si="94">TEXT(MAX(0,MIN($BM31,BS$7)-MAX($BL31,BS$6)),"h:mm")*24</f>
        <v>0</v>
      </c>
      <c r="BT31" s="83">
        <f t="shared" si="94"/>
        <v>0</v>
      </c>
      <c r="BU31" s="82">
        <f t="shared" si="23"/>
        <v>0</v>
      </c>
      <c r="BV31" s="82">
        <f t="shared" si="24"/>
        <v>0</v>
      </c>
      <c r="BW31" s="82">
        <f t="shared" si="25"/>
        <v>0</v>
      </c>
      <c r="BX31" s="82">
        <f t="shared" si="26"/>
        <v>0</v>
      </c>
      <c r="BY31" s="82">
        <f t="shared" si="27"/>
        <v>0</v>
      </c>
      <c r="BZ31" s="84">
        <f t="shared" si="28"/>
        <v>0</v>
      </c>
      <c r="CA31" s="84">
        <f t="shared" si="29"/>
        <v>0</v>
      </c>
      <c r="CB31" s="84">
        <f t="shared" si="30"/>
        <v>0</v>
      </c>
      <c r="CC31" s="82">
        <f t="shared" si="31"/>
        <v>0</v>
      </c>
      <c r="CD31" s="11">
        <f t="shared" si="32"/>
        <v>0</v>
      </c>
      <c r="CE31" s="11"/>
      <c r="CF31" s="11"/>
      <c r="CG31" s="11"/>
      <c r="CH31" s="11"/>
      <c r="CK31" s="63" t="s">
        <v>34</v>
      </c>
      <c r="CL31" s="55"/>
    </row>
    <row r="32" ht="16.5" customHeight="1" spans="1:90" x14ac:dyDescent="0.25">
      <c r="A32" s="63">
        <v>13</v>
      </c>
      <c r="B32" s="55"/>
      <c r="C32" s="85" t="s">
        <v>35</v>
      </c>
      <c r="D32" s="55"/>
      <c r="E32" s="64"/>
      <c r="F32" s="65"/>
      <c r="G32" s="66"/>
      <c r="H32" s="55"/>
      <c r="I32" s="64"/>
      <c r="J32" s="65"/>
      <c r="K32" s="66"/>
      <c r="L32" s="55"/>
      <c r="M32" s="67"/>
      <c r="N32" s="55"/>
      <c r="O32" s="68"/>
      <c r="P32" s="26"/>
      <c r="Q32" s="26"/>
      <c r="R32" s="55"/>
      <c r="S32" s="68"/>
      <c r="T32" s="26"/>
      <c r="U32" s="26"/>
      <c r="V32" s="55"/>
      <c r="W32" s="68"/>
      <c r="X32" s="26"/>
      <c r="Y32" s="26"/>
      <c r="Z32" s="55"/>
      <c r="AA32" s="68"/>
      <c r="AB32" s="26"/>
      <c r="AC32" s="26"/>
      <c r="AD32" s="55"/>
      <c r="AE32" s="69"/>
      <c r="AF32" s="26"/>
      <c r="AG32" s="26"/>
      <c r="AH32" s="26"/>
      <c r="AI32" s="26"/>
      <c r="AJ32" s="70"/>
      <c r="AK32" s="26"/>
      <c r="AL32" s="26"/>
      <c r="AM32" s="71"/>
      <c r="AN32" s="72"/>
      <c r="AO32" s="55"/>
      <c r="AP32" s="73">
        <f t="shared" si="10"/>
      </c>
      <c r="AQ32" s="49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44"/>
      <c r="BC32" s="3"/>
      <c r="BD32" s="3">
        <f t="shared" si="11"/>
        <v>0</v>
      </c>
      <c r="BE32" s="11">
        <f t="shared" si="62"/>
        <v>2026</v>
      </c>
      <c r="BF32" s="11">
        <f t="shared" si="63"/>
        <v>9</v>
      </c>
      <c r="BG32" s="11" t="str">
        <f t="shared" si="14"/>
        <v>2026/9/13</v>
      </c>
      <c r="BH32" s="79">
        <f>IF(OR(COUNTIF(祝祭日!$A:$A,$BG32)&gt;=1,OR(C32="土",C32="日",C32="",BD32=1)),0,1)</f>
        <v>0</v>
      </c>
      <c r="BI32" s="11">
        <f t="shared" si="15"/>
        <v>0</v>
      </c>
      <c r="BJ32" s="11">
        <f t="shared" si="16"/>
        <v>0</v>
      </c>
      <c r="BK32" s="80">
        <f t="shared" si="17"/>
        <v>0</v>
      </c>
      <c r="BL32" s="16">
        <f t="shared" si="18"/>
        <v>0</v>
      </c>
      <c r="BM32" s="31">
        <f t="shared" si="19"/>
        <v>0</v>
      </c>
      <c r="BN32" s="81">
        <f t="shared" ref="BN32:BQ32" si="95">TEXT(MAX(0,MIN($BM32,BN$7)-MAX($BL32,BN$6)),"h:mm")*24</f>
        <v>0</v>
      </c>
      <c r="BO32" s="82">
        <f t="shared" si="95"/>
        <v>0</v>
      </c>
      <c r="BP32" s="82">
        <f t="shared" si="95"/>
        <v>0</v>
      </c>
      <c r="BQ32" s="82">
        <f t="shared" si="95"/>
        <v>0</v>
      </c>
      <c r="BR32" s="82">
        <f t="shared" si="21"/>
        <v>0</v>
      </c>
      <c r="BS32" s="82">
        <f t="shared" ref="BS32:BT32" si="96">TEXT(MAX(0,MIN($BM32,BS$7)-MAX($BL32,BS$6)),"h:mm")*24</f>
        <v>0</v>
      </c>
      <c r="BT32" s="83">
        <f t="shared" si="96"/>
        <v>0</v>
      </c>
      <c r="BU32" s="82">
        <f t="shared" si="23"/>
        <v>0</v>
      </c>
      <c r="BV32" s="82">
        <f t="shared" si="24"/>
        <v>0</v>
      </c>
      <c r="BW32" s="82">
        <f t="shared" si="25"/>
        <v>0</v>
      </c>
      <c r="BX32" s="82">
        <f t="shared" si="26"/>
        <v>0</v>
      </c>
      <c r="BY32" s="82">
        <f t="shared" si="27"/>
        <v>0</v>
      </c>
      <c r="BZ32" s="84">
        <f t="shared" si="28"/>
        <v>0</v>
      </c>
      <c r="CA32" s="84">
        <f t="shared" si="29"/>
        <v>0</v>
      </c>
      <c r="CB32" s="84">
        <f t="shared" si="30"/>
        <v>0</v>
      </c>
      <c r="CC32" s="82">
        <f t="shared" si="31"/>
        <v>0</v>
      </c>
      <c r="CD32" s="11">
        <f t="shared" si="32"/>
        <v>0</v>
      </c>
      <c r="CE32" s="11"/>
      <c r="CF32" s="11"/>
      <c r="CG32" s="11"/>
      <c r="CH32" s="11"/>
      <c r="CK32" s="63" t="s">
        <v>76</v>
      </c>
      <c r="CL32" s="55"/>
    </row>
    <row r="33" ht="16.5" customHeight="1" spans="1:90" x14ac:dyDescent="0.25">
      <c r="A33" s="63">
        <v>14</v>
      </c>
      <c r="B33" s="55"/>
      <c r="C33" s="63"/>
      <c r="D33" s="55"/>
      <c r="E33" s="64"/>
      <c r="F33" s="65"/>
      <c r="G33" s="66"/>
      <c r="H33" s="55"/>
      <c r="I33" s="64"/>
      <c r="J33" s="65"/>
      <c r="K33" s="66"/>
      <c r="L33" s="55"/>
      <c r="M33" s="67"/>
      <c r="N33" s="55"/>
      <c r="O33" s="68"/>
      <c r="P33" s="26"/>
      <c r="Q33" s="26"/>
      <c r="R33" s="55"/>
      <c r="S33" s="68"/>
      <c r="T33" s="26"/>
      <c r="U33" s="26"/>
      <c r="V33" s="55"/>
      <c r="W33" s="68"/>
      <c r="X33" s="26"/>
      <c r="Y33" s="26"/>
      <c r="Z33" s="55"/>
      <c r="AA33" s="68"/>
      <c r="AB33" s="26"/>
      <c r="AC33" s="26"/>
      <c r="AD33" s="55"/>
      <c r="AE33" s="69"/>
      <c r="AF33" s="26"/>
      <c r="AG33" s="26"/>
      <c r="AH33" s="26"/>
      <c r="AI33" s="26"/>
      <c r="AJ33" s="70"/>
      <c r="AK33" s="26"/>
      <c r="AL33" s="26"/>
      <c r="AM33" s="71"/>
      <c r="AN33" s="72"/>
      <c r="AO33" s="55"/>
      <c r="AP33" s="73">
        <f t="shared" si="10"/>
      </c>
      <c r="AQ33" s="49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44"/>
      <c r="BC33" s="3"/>
      <c r="BD33" s="3">
        <f t="shared" si="11"/>
        <v>0</v>
      </c>
      <c r="BE33" s="11">
        <f t="shared" si="62"/>
        <v>2026</v>
      </c>
      <c r="BF33" s="11">
        <f t="shared" si="63"/>
        <v>9</v>
      </c>
      <c r="BG33" s="11" t="str">
        <f t="shared" si="14"/>
        <v>2026/9/14</v>
      </c>
      <c r="BH33" s="79">
        <f>IF(OR(COUNTIF(祝祭日!$A:$A,$BG33)&gt;=1,OR(C33="土",C33="日",C33="",BD33=1)),0,1)</f>
        <v>0</v>
      </c>
      <c r="BI33" s="11">
        <f t="shared" si="15"/>
        <v>0</v>
      </c>
      <c r="BJ33" s="11">
        <f t="shared" si="16"/>
        <v>0</v>
      </c>
      <c r="BK33" s="80">
        <f t="shared" si="17"/>
        <v>0</v>
      </c>
      <c r="BL33" s="16">
        <f t="shared" si="18"/>
        <v>0</v>
      </c>
      <c r="BM33" s="31">
        <f t="shared" si="19"/>
        <v>0</v>
      </c>
      <c r="BN33" s="81">
        <f t="shared" ref="BN33:BQ33" si="97">TEXT(MAX(0,MIN($BM33,BN$7)-MAX($BL33,BN$6)),"h:mm")*24</f>
        <v>0</v>
      </c>
      <c r="BO33" s="82">
        <f t="shared" si="97"/>
        <v>0</v>
      </c>
      <c r="BP33" s="82">
        <f t="shared" si="97"/>
        <v>0</v>
      </c>
      <c r="BQ33" s="82">
        <f t="shared" si="97"/>
        <v>0</v>
      </c>
      <c r="BR33" s="82">
        <f t="shared" si="21"/>
        <v>0</v>
      </c>
      <c r="BS33" s="82">
        <f t="shared" ref="BS33:BT33" si="98">TEXT(MAX(0,MIN($BM33,BS$7)-MAX($BL33,BS$6)),"h:mm")*24</f>
        <v>0</v>
      </c>
      <c r="BT33" s="83">
        <f t="shared" si="98"/>
        <v>0</v>
      </c>
      <c r="BU33" s="82">
        <f t="shared" si="23"/>
        <v>0</v>
      </c>
      <c r="BV33" s="82">
        <f t="shared" si="24"/>
        <v>0</v>
      </c>
      <c r="BW33" s="82">
        <f t="shared" si="25"/>
        <v>0</v>
      </c>
      <c r="BX33" s="82">
        <f t="shared" si="26"/>
        <v>0</v>
      </c>
      <c r="BY33" s="82">
        <f t="shared" si="27"/>
        <v>0</v>
      </c>
      <c r="BZ33" s="84">
        <f t="shared" si="28"/>
        <v>0</v>
      </c>
      <c r="CA33" s="84">
        <f t="shared" si="29"/>
        <v>0</v>
      </c>
      <c r="CB33" s="84">
        <f t="shared" si="30"/>
        <v>0</v>
      </c>
      <c r="CC33" s="82">
        <f t="shared" si="31"/>
        <v>0</v>
      </c>
      <c r="CD33" s="11">
        <f t="shared" si="32"/>
        <v>0</v>
      </c>
      <c r="CE33" s="11"/>
      <c r="CF33" s="11"/>
      <c r="CG33" s="11"/>
      <c r="CH33" s="11"/>
      <c r="CK33" s="63" t="s">
        <v>77</v>
      </c>
      <c r="CL33" s="55"/>
    </row>
    <row r="34" ht="16.5" customHeight="1" spans="1:90" x14ac:dyDescent="0.25">
      <c r="A34" s="63">
        <v>15</v>
      </c>
      <c r="B34" s="55"/>
      <c r="C34" s="63"/>
      <c r="D34" s="55"/>
      <c r="E34" s="64"/>
      <c r="F34" s="65"/>
      <c r="G34" s="66"/>
      <c r="H34" s="55"/>
      <c r="I34" s="64"/>
      <c r="J34" s="65"/>
      <c r="K34" s="66"/>
      <c r="L34" s="55"/>
      <c r="M34" s="67">
        <f t="shared" ref="M34" si="99">IF(E34="","",IF((BO34+BQ34)=0,"",(BO34+BQ34)*60))</f>
      </c>
      <c r="N34" s="55"/>
      <c r="O34" s="68">
        <f t="shared" ref="O34:O35" si="100">IF(E34&lt;&gt;"",IF(BU34&lt;&gt;0,BU34/24,""),"")</f>
      </c>
      <c r="P34" s="26"/>
      <c r="Q34" s="26"/>
      <c r="R34" s="55"/>
      <c r="S34" s="68">
        <f t="shared" si="61"/>
      </c>
      <c r="T34" s="26"/>
      <c r="U34" s="26"/>
      <c r="V34" s="55"/>
      <c r="W34" s="68">
        <f t="shared" si="8"/>
      </c>
      <c r="X34" s="26"/>
      <c r="Y34" s="26"/>
      <c r="Z34" s="55"/>
      <c r="AA34" s="68">
        <f t="shared" si="79"/>
      </c>
      <c r="AB34" s="26"/>
      <c r="AC34" s="26"/>
      <c r="AD34" s="55"/>
      <c r="AE34" s="69"/>
      <c r="AF34" s="26"/>
      <c r="AG34" s="26"/>
      <c r="AH34" s="26"/>
      <c r="AI34" s="26"/>
      <c r="AJ34" s="70"/>
      <c r="AK34" s="26"/>
      <c r="AL34" s="26"/>
      <c r="AM34" s="71"/>
      <c r="AN34" s="72"/>
      <c r="AO34" s="55"/>
      <c r="AP34" s="73">
        <f t="shared" si="10"/>
      </c>
      <c r="AQ34" s="49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44"/>
      <c r="BC34" s="3"/>
      <c r="BD34" s="3">
        <f t="shared" si="11"/>
        <v>0</v>
      </c>
      <c r="BE34" s="11">
        <f t="shared" si="62"/>
        <v>2026</v>
      </c>
      <c r="BF34" s="11">
        <f t="shared" si="63"/>
        <v>9</v>
      </c>
      <c r="BG34" s="11" t="str">
        <f t="shared" si="14"/>
        <v>2026/9/15</v>
      </c>
      <c r="BH34" s="79">
        <f>IF(OR(COUNTIF(祝祭日!$A:$A,$BG34)&gt;=1,OR(C34="土",C34="日",C34="",BD34=1)),0,1)</f>
        <v>0</v>
      </c>
      <c r="BI34" s="11">
        <f t="shared" si="15"/>
        <v>0</v>
      </c>
      <c r="BJ34" s="11">
        <f t="shared" si="16"/>
        <v>0</v>
      </c>
      <c r="BK34" s="80">
        <f t="shared" si="17"/>
        <v>0</v>
      </c>
      <c r="BL34" s="16">
        <f t="shared" si="18"/>
        <v>0</v>
      </c>
      <c r="BM34" s="31">
        <f t="shared" si="19"/>
        <v>0</v>
      </c>
      <c r="BN34" s="81">
        <f t="shared" ref="BN34:BQ34" si="101">TEXT(MAX(0,MIN($BM34,BN$7)-MAX($BL34,BN$6)),"h:mm")*24</f>
        <v>0</v>
      </c>
      <c r="BO34" s="82">
        <f t="shared" si="101"/>
        <v>0</v>
      </c>
      <c r="BP34" s="82">
        <f t="shared" si="101"/>
        <v>0</v>
      </c>
      <c r="BQ34" s="82">
        <f t="shared" si="101"/>
        <v>0</v>
      </c>
      <c r="BR34" s="82">
        <f t="shared" si="21"/>
        <v>0</v>
      </c>
      <c r="BS34" s="82">
        <f t="shared" ref="BS34:BT34" si="102">TEXT(MAX(0,MIN($BM34,BS$7)-MAX($BL34,BS$6)),"h:mm")*24</f>
        <v>0</v>
      </c>
      <c r="BT34" s="83">
        <f t="shared" si="102"/>
        <v>0</v>
      </c>
      <c r="BU34" s="82">
        <f t="shared" si="23"/>
        <v>0</v>
      </c>
      <c r="BV34" s="82">
        <f t="shared" si="24"/>
        <v>0</v>
      </c>
      <c r="BW34" s="82">
        <f t="shared" si="25"/>
        <v>0</v>
      </c>
      <c r="BX34" s="82">
        <f t="shared" si="26"/>
        <v>0</v>
      </c>
      <c r="BY34" s="82">
        <f t="shared" si="27"/>
        <v>0</v>
      </c>
      <c r="BZ34" s="84">
        <f t="shared" si="28"/>
        <v>0</v>
      </c>
      <c r="CA34" s="84">
        <f t="shared" si="29"/>
        <v>0</v>
      </c>
      <c r="CB34" s="84">
        <f t="shared" si="30"/>
        <v>0</v>
      </c>
      <c r="CC34" s="82">
        <f t="shared" si="31"/>
        <v>0</v>
      </c>
      <c r="CD34" s="11">
        <f t="shared" si="32"/>
        <v>0</v>
      </c>
      <c r="CE34" s="11"/>
      <c r="CF34" s="11"/>
      <c r="CG34" s="11"/>
      <c r="CH34" s="11"/>
      <c r="CK34" s="63" t="s">
        <v>78</v>
      </c>
      <c r="CL34" s="55"/>
    </row>
    <row r="35" ht="16.5" customHeight="1" spans="1:90" x14ac:dyDescent="0.25">
      <c r="A35" s="63">
        <v>16</v>
      </c>
      <c r="B35" s="55"/>
      <c r="C35" s="63"/>
      <c r="D35" s="55"/>
      <c r="E35" s="64"/>
      <c r="F35" s="65"/>
      <c r="G35" s="66"/>
      <c r="H35" s="55"/>
      <c r="I35" s="64"/>
      <c r="J35" s="65"/>
      <c r="K35" s="66"/>
      <c r="L35" s="55"/>
      <c r="M35" s="67">
        <f t="shared" ref="M35" si="103">IF(E35="","",IF((BO35+BQ35)=0,"",(BO35+BQ35)*60))</f>
      </c>
      <c r="N35" s="55"/>
      <c r="O35" s="93">
        <f t="shared" si="100"/>
      </c>
      <c r="P35" s="26"/>
      <c r="Q35" s="26"/>
      <c r="R35" s="55"/>
      <c r="S35" s="68">
        <f t="shared" si="61"/>
      </c>
      <c r="T35" s="26"/>
      <c r="U35" s="26"/>
      <c r="V35" s="55"/>
      <c r="W35" s="68">
        <f t="shared" si="8"/>
      </c>
      <c r="X35" s="26"/>
      <c r="Y35" s="26"/>
      <c r="Z35" s="55"/>
      <c r="AA35" s="68">
        <f t="shared" si="79"/>
      </c>
      <c r="AB35" s="26"/>
      <c r="AC35" s="26"/>
      <c r="AD35" s="55"/>
      <c r="AE35" s="69"/>
      <c r="AF35" s="26"/>
      <c r="AG35" s="26"/>
      <c r="AH35" s="26"/>
      <c r="AI35" s="26"/>
      <c r="AJ35" s="70"/>
      <c r="AK35" s="26"/>
      <c r="AL35" s="26"/>
      <c r="AM35" s="71"/>
      <c r="AN35" s="72"/>
      <c r="AO35" s="55"/>
      <c r="AP35" s="73">
        <f t="shared" si="10"/>
      </c>
      <c r="AQ35" s="49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44"/>
      <c r="BC35" s="3"/>
      <c r="BD35" s="3">
        <f t="shared" si="11"/>
        <v>0</v>
      </c>
      <c r="BE35" s="11">
        <f t="shared" si="62"/>
        <v>2026</v>
      </c>
      <c r="BF35" s="11">
        <f t="shared" si="63"/>
        <v>9</v>
      </c>
      <c r="BG35" s="11" t="str">
        <f t="shared" si="14"/>
        <v>2026/9/16</v>
      </c>
      <c r="BH35" s="79">
        <f>IF(OR(COUNTIF(祝祭日!$A:$A,$BG35)&gt;=1,OR(C35="土",C35="日",C35="",BD35=1)),0,1)</f>
        <v>0</v>
      </c>
      <c r="BI35" s="11">
        <f t="shared" si="15"/>
        <v>0</v>
      </c>
      <c r="BJ35" s="11">
        <f t="shared" si="16"/>
        <v>0</v>
      </c>
      <c r="BK35" s="80">
        <f t="shared" si="17"/>
        <v>0</v>
      </c>
      <c r="BL35" s="16">
        <f t="shared" si="18"/>
        <v>0</v>
      </c>
      <c r="BM35" s="31">
        <f t="shared" si="19"/>
        <v>0</v>
      </c>
      <c r="BN35" s="81">
        <f t="shared" ref="BN35:BQ35" si="104">TEXT(MAX(0,MIN($BM35,BN$7)-MAX($BL35,BN$6)),"h:mm")*24</f>
        <v>0</v>
      </c>
      <c r="BO35" s="82">
        <f t="shared" si="104"/>
        <v>0</v>
      </c>
      <c r="BP35" s="82">
        <f t="shared" si="104"/>
        <v>0</v>
      </c>
      <c r="BQ35" s="82">
        <f t="shared" si="104"/>
        <v>0</v>
      </c>
      <c r="BR35" s="82">
        <f t="shared" si="21"/>
        <v>0</v>
      </c>
      <c r="BS35" s="82">
        <f t="shared" ref="BS35:BT35" si="105">TEXT(MAX(0,MIN($BM35,BS$7)-MAX($BL35,BS$6)),"h:mm")*24</f>
        <v>0</v>
      </c>
      <c r="BT35" s="83">
        <f t="shared" si="105"/>
        <v>0</v>
      </c>
      <c r="BU35" s="82">
        <f t="shared" si="23"/>
        <v>0</v>
      </c>
      <c r="BV35" s="82">
        <f t="shared" si="24"/>
        <v>0</v>
      </c>
      <c r="BW35" s="82">
        <f t="shared" si="25"/>
        <v>0</v>
      </c>
      <c r="BX35" s="82">
        <f t="shared" si="26"/>
        <v>0</v>
      </c>
      <c r="BY35" s="82">
        <f t="shared" si="27"/>
        <v>0</v>
      </c>
      <c r="BZ35" s="84">
        <f t="shared" si="28"/>
        <v>0</v>
      </c>
      <c r="CA35" s="84">
        <f t="shared" si="29"/>
        <v>0</v>
      </c>
      <c r="CB35" s="84">
        <f t="shared" si="30"/>
        <v>0</v>
      </c>
      <c r="CC35" s="82">
        <f t="shared" si="31"/>
        <v>0</v>
      </c>
      <c r="CD35" s="11">
        <f t="shared" si="32"/>
        <v>0</v>
      </c>
      <c r="CE35" s="11"/>
      <c r="CF35" s="11"/>
      <c r="CG35" s="11"/>
      <c r="CH35" s="11"/>
      <c r="CK35" s="63" t="s">
        <v>73</v>
      </c>
      <c r="CL35" s="55"/>
    </row>
    <row r="36" ht="16.5" customHeight="1" spans="1:90" x14ac:dyDescent="0.25">
      <c r="A36" s="63">
        <v>17</v>
      </c>
      <c r="B36" s="55"/>
      <c r="C36" s="63"/>
      <c r="D36" s="55"/>
      <c r="E36" s="64"/>
      <c r="F36" s="65"/>
      <c r="G36" s="66"/>
      <c r="H36" s="55"/>
      <c r="I36" s="64"/>
      <c r="J36" s="65"/>
      <c r="K36" s="66"/>
      <c r="L36" s="55"/>
      <c r="M36" s="67"/>
      <c r="N36" s="55"/>
      <c r="O36" s="68"/>
      <c r="P36" s="26"/>
      <c r="Q36" s="26"/>
      <c r="R36" s="55"/>
      <c r="S36" s="68"/>
      <c r="T36" s="26"/>
      <c r="U36" s="26"/>
      <c r="V36" s="55"/>
      <c r="W36" s="68"/>
      <c r="X36" s="26"/>
      <c r="Y36" s="26"/>
      <c r="Z36" s="55"/>
      <c r="AA36" s="68"/>
      <c r="AB36" s="26"/>
      <c r="AC36" s="26"/>
      <c r="AD36" s="55"/>
      <c r="AE36" s="69"/>
      <c r="AF36" s="26"/>
      <c r="AG36" s="26"/>
      <c r="AH36" s="26"/>
      <c r="AI36" s="26"/>
      <c r="AJ36" s="70"/>
      <c r="AK36" s="26"/>
      <c r="AL36" s="26"/>
      <c r="AM36" s="71"/>
      <c r="AN36" s="72"/>
      <c r="AO36" s="55"/>
      <c r="AP36" s="73">
        <f t="shared" si="10"/>
      </c>
      <c r="AQ36" s="49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44"/>
      <c r="BC36" s="3"/>
      <c r="BD36" s="3">
        <f t="shared" si="11"/>
        <v>0</v>
      </c>
      <c r="BE36" s="11">
        <f t="shared" si="62"/>
        <v>2026</v>
      </c>
      <c r="BF36" s="11">
        <f t="shared" si="63"/>
        <v>9</v>
      </c>
      <c r="BG36" s="11" t="str">
        <f t="shared" si="14"/>
        <v>2026/9/17</v>
      </c>
      <c r="BH36" s="79">
        <f>IF(OR(COUNTIF(祝祭日!$A:$A,$BG36)&gt;=1,OR(C36="土",C36="日",C36="",BD36=1)),0,1)</f>
        <v>0</v>
      </c>
      <c r="BI36" s="11">
        <f t="shared" si="15"/>
        <v>0</v>
      </c>
      <c r="BJ36" s="11">
        <f t="shared" si="16"/>
        <v>0</v>
      </c>
      <c r="BK36" s="80">
        <f t="shared" si="17"/>
        <v>0</v>
      </c>
      <c r="BL36" s="16">
        <f t="shared" si="18"/>
        <v>0</v>
      </c>
      <c r="BM36" s="31">
        <f t="shared" si="19"/>
        <v>0</v>
      </c>
      <c r="BN36" s="81">
        <f t="shared" ref="BN36:BQ36" si="106">TEXT(MAX(0,MIN($BM36,BN$7)-MAX($BL36,BN$6)),"h:mm")*24</f>
        <v>0</v>
      </c>
      <c r="BO36" s="82">
        <f t="shared" si="106"/>
        <v>0</v>
      </c>
      <c r="BP36" s="82">
        <f t="shared" si="106"/>
        <v>0</v>
      </c>
      <c r="BQ36" s="82">
        <f t="shared" si="106"/>
        <v>0</v>
      </c>
      <c r="BR36" s="82">
        <f t="shared" si="21"/>
        <v>0</v>
      </c>
      <c r="BS36" s="82">
        <f t="shared" ref="BS36:BT36" si="107">TEXT(MAX(0,MIN($BM36,BS$7)-MAX($BL36,BS$6)),"h:mm")*24</f>
        <v>0</v>
      </c>
      <c r="BT36" s="83">
        <f t="shared" si="107"/>
        <v>0</v>
      </c>
      <c r="BU36" s="82">
        <f t="shared" si="23"/>
        <v>0</v>
      </c>
      <c r="BV36" s="82">
        <f t="shared" si="24"/>
        <v>0</v>
      </c>
      <c r="BW36" s="82">
        <f t="shared" si="25"/>
        <v>0</v>
      </c>
      <c r="BX36" s="82">
        <f t="shared" si="26"/>
        <v>0</v>
      </c>
      <c r="BY36" s="82">
        <f t="shared" si="27"/>
        <v>0</v>
      </c>
      <c r="BZ36" s="84">
        <f t="shared" si="28"/>
        <v>0</v>
      </c>
      <c r="CA36" s="84">
        <f t="shared" si="29"/>
        <v>0</v>
      </c>
      <c r="CB36" s="84">
        <f t="shared" si="30"/>
        <v>0</v>
      </c>
      <c r="CC36" s="82">
        <f t="shared" si="31"/>
        <v>0</v>
      </c>
      <c r="CD36" s="11">
        <f t="shared" si="32"/>
        <v>0</v>
      </c>
      <c r="CE36" s="11"/>
      <c r="CF36" s="11"/>
      <c r="CG36" s="11"/>
      <c r="CH36" s="11"/>
      <c r="CK36" s="85" t="s">
        <v>74</v>
      </c>
      <c r="CL36" s="55"/>
    </row>
    <row r="37" ht="16.5" customHeight="1" spans="1:90" x14ac:dyDescent="0.25">
      <c r="A37" s="63">
        <v>18</v>
      </c>
      <c r="B37" s="55"/>
      <c r="C37" s="63"/>
      <c r="D37" s="55"/>
      <c r="E37" s="64"/>
      <c r="F37" s="65"/>
      <c r="G37" s="66"/>
      <c r="H37" s="55"/>
      <c r="I37" s="64"/>
      <c r="J37" s="65"/>
      <c r="K37" s="66"/>
      <c r="L37" s="55"/>
      <c r="M37" s="67"/>
      <c r="N37" s="55"/>
      <c r="O37" s="68"/>
      <c r="P37" s="26"/>
      <c r="Q37" s="26"/>
      <c r="R37" s="55"/>
      <c r="S37" s="68"/>
      <c r="T37" s="26"/>
      <c r="U37" s="26"/>
      <c r="V37" s="55"/>
      <c r="W37" s="68"/>
      <c r="X37" s="26"/>
      <c r="Y37" s="26"/>
      <c r="Z37" s="55"/>
      <c r="AA37" s="68"/>
      <c r="AB37" s="26"/>
      <c r="AC37" s="26"/>
      <c r="AD37" s="55"/>
      <c r="AE37" s="69"/>
      <c r="AF37" s="26"/>
      <c r="AG37" s="26"/>
      <c r="AH37" s="26"/>
      <c r="AI37" s="26"/>
      <c r="AJ37" s="70"/>
      <c r="AK37" s="26"/>
      <c r="AL37" s="26"/>
      <c r="AM37" s="71"/>
      <c r="AN37" s="72"/>
      <c r="AO37" s="55"/>
      <c r="AP37" s="73">
        <f t="shared" si="10"/>
      </c>
      <c r="AQ37" s="49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44"/>
      <c r="BC37" s="3"/>
      <c r="BD37" s="3">
        <f t="shared" si="11"/>
        <v>0</v>
      </c>
      <c r="BE37" s="11">
        <f t="shared" si="62"/>
        <v>2026</v>
      </c>
      <c r="BF37" s="11">
        <f t="shared" si="63"/>
        <v>9</v>
      </c>
      <c r="BG37" s="11" t="str">
        <f t="shared" si="14"/>
        <v>2026/9/18</v>
      </c>
      <c r="BH37" s="79">
        <f>IF(OR(COUNTIF(祝祭日!$A:$A,$BG37)&gt;=1,OR(C37="土",C37="日",C37="",BD37=1)),0,1)</f>
        <v>0</v>
      </c>
      <c r="BI37" s="11">
        <f t="shared" si="15"/>
        <v>0</v>
      </c>
      <c r="BJ37" s="11">
        <f t="shared" si="16"/>
        <v>0</v>
      </c>
      <c r="BK37" s="80">
        <f t="shared" si="17"/>
        <v>0</v>
      </c>
      <c r="BL37" s="16">
        <f t="shared" si="18"/>
        <v>0</v>
      </c>
      <c r="BM37" s="31">
        <f t="shared" si="19"/>
        <v>0</v>
      </c>
      <c r="BN37" s="81">
        <f t="shared" ref="BN37:BQ37" si="108">TEXT(MAX(0,MIN($BM37,BN$7)-MAX($BL37,BN$6)),"h:mm")*24</f>
        <v>0</v>
      </c>
      <c r="BO37" s="82">
        <f t="shared" si="108"/>
        <v>0</v>
      </c>
      <c r="BP37" s="82">
        <f t="shared" si="108"/>
        <v>0</v>
      </c>
      <c r="BQ37" s="82">
        <f t="shared" si="108"/>
        <v>0</v>
      </c>
      <c r="BR37" s="82">
        <f t="shared" si="21"/>
        <v>0</v>
      </c>
      <c r="BS37" s="82">
        <f t="shared" ref="BS37:BT37" si="109">TEXT(MAX(0,MIN($BM37,BS$7)-MAX($BL37,BS$6)),"h:mm")*24</f>
        <v>0</v>
      </c>
      <c r="BT37" s="83">
        <f t="shared" si="109"/>
        <v>0</v>
      </c>
      <c r="BU37" s="82">
        <f t="shared" si="23"/>
        <v>0</v>
      </c>
      <c r="BV37" s="82">
        <f t="shared" si="24"/>
        <v>0</v>
      </c>
      <c r="BW37" s="82">
        <f t="shared" si="25"/>
        <v>0</v>
      </c>
      <c r="BX37" s="82">
        <f t="shared" si="26"/>
        <v>0</v>
      </c>
      <c r="BY37" s="82">
        <f t="shared" si="27"/>
        <v>0</v>
      </c>
      <c r="BZ37" s="84">
        <f t="shared" si="28"/>
        <v>0</v>
      </c>
      <c r="CA37" s="84">
        <f t="shared" si="29"/>
        <v>0</v>
      </c>
      <c r="CB37" s="84">
        <f t="shared" si="30"/>
        <v>0</v>
      </c>
      <c r="CC37" s="82">
        <f t="shared" si="31"/>
        <v>0</v>
      </c>
      <c r="CD37" s="11">
        <f t="shared" si="32"/>
        <v>0</v>
      </c>
      <c r="CE37" s="11"/>
      <c r="CF37" s="11"/>
      <c r="CG37" s="11"/>
      <c r="CH37" s="11"/>
      <c r="CK37" s="85" t="s">
        <v>35</v>
      </c>
      <c r="CL37" s="55"/>
    </row>
    <row r="38" ht="16.5" customHeight="1" spans="1:90" x14ac:dyDescent="0.25">
      <c r="A38" s="63">
        <v>19</v>
      </c>
      <c r="B38" s="55"/>
      <c r="C38" s="85" t="s">
        <v>74</v>
      </c>
      <c r="D38" s="55"/>
      <c r="E38" s="64"/>
      <c r="F38" s="65"/>
      <c r="G38" s="66"/>
      <c r="H38" s="55"/>
      <c r="I38" s="64"/>
      <c r="J38" s="65"/>
      <c r="K38" s="66"/>
      <c r="L38" s="55"/>
      <c r="M38" s="67"/>
      <c r="N38" s="55"/>
      <c r="O38" s="93"/>
      <c r="P38" s="26"/>
      <c r="Q38" s="26"/>
      <c r="R38" s="55"/>
      <c r="S38" s="68"/>
      <c r="T38" s="26"/>
      <c r="U38" s="26"/>
      <c r="V38" s="55"/>
      <c r="W38" s="68"/>
      <c r="X38" s="26"/>
      <c r="Y38" s="26"/>
      <c r="Z38" s="55"/>
      <c r="AA38" s="68"/>
      <c r="AB38" s="26"/>
      <c r="AC38" s="26"/>
      <c r="AD38" s="55"/>
      <c r="AE38" s="69"/>
      <c r="AF38" s="26"/>
      <c r="AG38" s="26"/>
      <c r="AH38" s="26"/>
      <c r="AI38" s="26"/>
      <c r="AJ38" s="70"/>
      <c r="AK38" s="26"/>
      <c r="AL38" s="26"/>
      <c r="AM38" s="71"/>
      <c r="AN38" s="72"/>
      <c r="AO38" s="55"/>
      <c r="AP38" s="73">
        <f t="shared" si="10"/>
      </c>
      <c r="AQ38" s="49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44"/>
      <c r="BC38" s="3"/>
      <c r="BD38" s="3">
        <f t="shared" si="11"/>
        <v>0</v>
      </c>
      <c r="BE38" s="11">
        <f t="shared" si="62"/>
        <v>2026</v>
      </c>
      <c r="BF38" s="11">
        <f t="shared" si="63"/>
        <v>9</v>
      </c>
      <c r="BG38" s="11" t="str">
        <f t="shared" si="14"/>
        <v>2026/9/19</v>
      </c>
      <c r="BH38" s="79">
        <f>IF(OR(COUNTIF(祝祭日!$A:$A,$BG38)&gt;=1,OR(C38="土",C38="日",C38="",BD38=1)),0,1)</f>
        <v>0</v>
      </c>
      <c r="BI38" s="11">
        <f t="shared" si="15"/>
        <v>0</v>
      </c>
      <c r="BJ38" s="11">
        <f t="shared" si="16"/>
        <v>0</v>
      </c>
      <c r="BK38" s="80">
        <f t="shared" si="17"/>
        <v>0</v>
      </c>
      <c r="BL38" s="16">
        <f t="shared" si="18"/>
        <v>0</v>
      </c>
      <c r="BM38" s="31">
        <f t="shared" si="19"/>
        <v>0</v>
      </c>
      <c r="BN38" s="81">
        <f t="shared" ref="BN38:BQ38" si="110">TEXT(MAX(0,MIN($BM38,BN$7)-MAX($BL38,BN$6)),"h:mm")*24</f>
        <v>0</v>
      </c>
      <c r="BO38" s="82">
        <f t="shared" si="110"/>
        <v>0</v>
      </c>
      <c r="BP38" s="82">
        <f t="shared" si="110"/>
        <v>0</v>
      </c>
      <c r="BQ38" s="82">
        <f t="shared" si="110"/>
        <v>0</v>
      </c>
      <c r="BR38" s="82">
        <f t="shared" si="21"/>
        <v>0</v>
      </c>
      <c r="BS38" s="82">
        <f t="shared" ref="BS38:BT38" si="111">TEXT(MAX(0,MIN($BM38,BS$7)-MAX($BL38,BS$6)),"h:mm")*24</f>
        <v>0</v>
      </c>
      <c r="BT38" s="83">
        <f t="shared" si="111"/>
        <v>0</v>
      </c>
      <c r="BU38" s="82">
        <f t="shared" si="23"/>
        <v>0</v>
      </c>
      <c r="BV38" s="82">
        <f t="shared" si="24"/>
        <v>0</v>
      </c>
      <c r="BW38" s="82">
        <f t="shared" si="25"/>
        <v>0</v>
      </c>
      <c r="BX38" s="82">
        <f t="shared" si="26"/>
        <v>0</v>
      </c>
      <c r="BY38" s="82">
        <f t="shared" si="27"/>
        <v>0</v>
      </c>
      <c r="BZ38" s="84">
        <f t="shared" si="28"/>
        <v>0</v>
      </c>
      <c r="CA38" s="84">
        <f t="shared" si="29"/>
        <v>0</v>
      </c>
      <c r="CB38" s="84">
        <f t="shared" si="30"/>
        <v>0</v>
      </c>
      <c r="CC38" s="82">
        <f t="shared" si="31"/>
        <v>0</v>
      </c>
      <c r="CD38" s="11">
        <f t="shared" si="32"/>
        <v>0</v>
      </c>
      <c r="CE38" s="11"/>
      <c r="CF38" s="11"/>
      <c r="CG38" s="11"/>
      <c r="CH38" s="11"/>
      <c r="CK38" s="63" t="s">
        <v>34</v>
      </c>
      <c r="CL38" s="55"/>
    </row>
    <row r="39" ht="16.5" customHeight="1" spans="1:90" x14ac:dyDescent="0.25">
      <c r="A39" s="63">
        <v>20</v>
      </c>
      <c r="B39" s="55"/>
      <c r="C39" s="85" t="s">
        <v>35</v>
      </c>
      <c r="D39" s="55"/>
      <c r="E39" s="64"/>
      <c r="F39" s="65"/>
      <c r="G39" s="66"/>
      <c r="H39" s="55"/>
      <c r="I39" s="64"/>
      <c r="J39" s="65"/>
      <c r="K39" s="66"/>
      <c r="L39" s="55"/>
      <c r="M39" s="67"/>
      <c r="N39" s="55"/>
      <c r="O39" s="68"/>
      <c r="P39" s="26"/>
      <c r="Q39" s="26"/>
      <c r="R39" s="55"/>
      <c r="S39" s="68"/>
      <c r="T39" s="26"/>
      <c r="U39" s="26"/>
      <c r="V39" s="55"/>
      <c r="W39" s="68"/>
      <c r="X39" s="26"/>
      <c r="Y39" s="26"/>
      <c r="Z39" s="55"/>
      <c r="AA39" s="68"/>
      <c r="AB39" s="26"/>
      <c r="AC39" s="26"/>
      <c r="AD39" s="55"/>
      <c r="AE39" s="69"/>
      <c r="AF39" s="26"/>
      <c r="AG39" s="26"/>
      <c r="AH39" s="26"/>
      <c r="AI39" s="26"/>
      <c r="AJ39" s="70"/>
      <c r="AK39" s="26"/>
      <c r="AL39" s="26"/>
      <c r="AM39" s="71"/>
      <c r="AN39" s="72"/>
      <c r="AO39" s="55"/>
      <c r="AP39" s="73">
        <f t="shared" si="10"/>
      </c>
      <c r="AQ39" s="47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48"/>
      <c r="BC39" s="3"/>
      <c r="BD39" s="3">
        <f t="shared" si="11"/>
        <v>0</v>
      </c>
      <c r="BE39" s="11">
        <f t="shared" si="62"/>
        <v>2026</v>
      </c>
      <c r="BF39" s="11">
        <f t="shared" si="63"/>
        <v>9</v>
      </c>
      <c r="BG39" s="11" t="str">
        <f t="shared" si="14"/>
        <v>2026/9/20</v>
      </c>
      <c r="BH39" s="79">
        <f>IF(OR(COUNTIF(祝祭日!$A:$A,$BG39)&gt;=1,OR(C39="土",C39="日",C39="",BD39=1)),0,1)</f>
        <v>0</v>
      </c>
      <c r="BI39" s="97">
        <f t="shared" si="15"/>
        <v>0</v>
      </c>
      <c r="BJ39" s="97">
        <f t="shared" si="16"/>
        <v>0</v>
      </c>
      <c r="BK39" s="98">
        <f t="shared" si="17"/>
        <v>0</v>
      </c>
      <c r="BL39" s="99">
        <f t="shared" si="18"/>
        <v>0</v>
      </c>
      <c r="BM39" s="100">
        <f t="shared" si="19"/>
        <v>0</v>
      </c>
      <c r="BN39" s="101">
        <f t="shared" ref="BN39:BQ39" si="112">TEXT(MAX(0,MIN($BM39,BN$7)-MAX($BL39,BN$6)),"h:mm")*24</f>
        <v>0</v>
      </c>
      <c r="BO39" s="102">
        <f t="shared" si="112"/>
        <v>0</v>
      </c>
      <c r="BP39" s="102">
        <f t="shared" si="112"/>
        <v>0</v>
      </c>
      <c r="BQ39" s="102">
        <f t="shared" si="112"/>
        <v>0</v>
      </c>
      <c r="BR39" s="102">
        <f t="shared" si="21"/>
        <v>0</v>
      </c>
      <c r="BS39" s="102">
        <f t="shared" ref="BS39:BT39" si="113">TEXT(MAX(0,MIN($BM39,BS$7)-MAX($BL39,BS$6)),"h:mm")*24</f>
        <v>0</v>
      </c>
      <c r="BT39" s="103">
        <f t="shared" si="113"/>
        <v>0</v>
      </c>
      <c r="BU39" s="102">
        <f t="shared" si="23"/>
        <v>0</v>
      </c>
      <c r="BV39" s="102">
        <f t="shared" si="24"/>
        <v>0</v>
      </c>
      <c r="BW39" s="102">
        <f t="shared" si="25"/>
        <v>0</v>
      </c>
      <c r="BX39" s="102">
        <f t="shared" si="26"/>
        <v>0</v>
      </c>
      <c r="BY39" s="102">
        <f t="shared" si="27"/>
        <v>0</v>
      </c>
      <c r="BZ39" s="104">
        <f t="shared" si="28"/>
        <v>0</v>
      </c>
      <c r="CA39" s="104">
        <f t="shared" si="29"/>
        <v>0</v>
      </c>
      <c r="CB39" s="104">
        <f t="shared" si="30"/>
        <v>0</v>
      </c>
      <c r="CC39" s="102">
        <f t="shared" si="31"/>
        <v>0</v>
      </c>
      <c r="CD39" s="11">
        <f t="shared" si="32"/>
        <v>0</v>
      </c>
      <c r="CE39" s="11"/>
      <c r="CF39" s="11"/>
      <c r="CG39" s="11"/>
      <c r="CH39" s="11"/>
      <c r="CK39" s="63" t="s">
        <v>76</v>
      </c>
      <c r="CL39" s="55"/>
    </row>
    <row r="40" ht="19.5" customHeight="1" spans="1:90" x14ac:dyDescent="0.25">
      <c r="A40" s="105" t="s">
        <v>90</v>
      </c>
      <c r="B40" s="29"/>
      <c r="C40" s="29"/>
      <c r="D40" s="37"/>
      <c r="E40" s="106" t="s">
        <v>91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55"/>
      <c r="W40" s="107">
        <f>BH40-W47+SUM(BJ9:BJ39)</f>
        <v>16</v>
      </c>
      <c r="X40" s="26"/>
      <c r="Y40" s="108" t="s">
        <v>35</v>
      </c>
      <c r="Z40" s="55"/>
      <c r="AA40" s="109" t="s">
        <v>92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55"/>
      <c r="AQ40" s="110">
        <f>ROUNDDOWN(BU40,0)</f>
        <v>121</v>
      </c>
      <c r="AR40" s="29"/>
      <c r="AS40" s="29"/>
      <c r="AT40" s="29"/>
      <c r="AU40" s="108" t="s">
        <v>80</v>
      </c>
      <c r="AV40" s="26"/>
      <c r="AW40" s="26"/>
      <c r="AX40" s="111">
        <f>(BU40-AQ40)*60</f>
        <v>0</v>
      </c>
      <c r="AY40" s="29"/>
      <c r="AZ40" s="29"/>
      <c r="BA40" s="108" t="s">
        <v>55</v>
      </c>
      <c r="BB40" s="55"/>
      <c r="BC40" s="3"/>
      <c r="BD40" s="3"/>
      <c r="BE40" s="11"/>
      <c r="BF40" s="11"/>
      <c r="BG40" s="11"/>
      <c r="BH40" s="112">
        <f>SUM(BH9:BH39)</f>
        <v>16</v>
      </c>
      <c r="BI40" s="11"/>
      <c r="BJ40" s="11"/>
      <c r="BK40" s="11"/>
      <c r="BL40" s="11"/>
      <c r="BM40" s="11"/>
      <c r="BN40" s="82"/>
      <c r="BO40" s="82"/>
      <c r="BP40" s="82"/>
      <c r="BQ40" s="82"/>
      <c r="BR40" s="82"/>
      <c r="BS40" s="82"/>
      <c r="BT40" s="82"/>
      <c r="BU40" s="82">
        <f t="shared" ref="BU40:BW40" si="114">SUM(BU9:BU39)</f>
        <v>121</v>
      </c>
      <c r="BV40" s="82">
        <f t="shared" si="114"/>
        <v>3</v>
      </c>
      <c r="BW40" s="82">
        <f t="shared" si="114"/>
        <v>0</v>
      </c>
      <c r="BX40" s="82"/>
      <c r="BY40" s="82">
        <f t="shared" ref="BY40:CB40" si="115">SUM(BY9:BY39)</f>
        <v>0.5</v>
      </c>
      <c r="BZ40" s="82">
        <f t="shared" si="115"/>
        <v>0</v>
      </c>
      <c r="CA40" s="82">
        <f t="shared" si="115"/>
        <v>0</v>
      </c>
      <c r="CB40" s="82">
        <f t="shared" si="115"/>
        <v>0</v>
      </c>
      <c r="CC40" s="82"/>
      <c r="CD40" s="11"/>
      <c r="CE40" s="11"/>
      <c r="CF40" s="11"/>
      <c r="CG40" s="11"/>
      <c r="CH40" s="11"/>
      <c r="CK40" s="63" t="s">
        <v>77</v>
      </c>
      <c r="CL40" s="55"/>
    </row>
    <row r="41" ht="15" customHeight="1" spans="1:90" x14ac:dyDescent="0.25">
      <c r="A41" s="49"/>
      <c r="B41" s="2"/>
      <c r="C41" s="2"/>
      <c r="D41" s="44"/>
      <c r="E41" s="113" t="s">
        <v>93</v>
      </c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55"/>
      <c r="W41" s="114">
        <f>COUNTIF(BU9:BU39,"&lt;&gt;"&amp;0)+COUNTIF($AJ$9:$AO$39,"休日出勤")</f>
        <v>16</v>
      </c>
      <c r="X41" s="26"/>
      <c r="Y41" s="115" t="s">
        <v>35</v>
      </c>
      <c r="Z41" s="55"/>
      <c r="AA41" s="113" t="s">
        <v>94</v>
      </c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55"/>
      <c r="AQ41" s="116">
        <f>ROUNDDOWN(BV40+BW40,0)</f>
        <v>3</v>
      </c>
      <c r="AR41" s="29"/>
      <c r="AS41" s="29"/>
      <c r="AT41" s="29"/>
      <c r="AU41" s="115" t="s">
        <v>80</v>
      </c>
      <c r="AV41" s="26"/>
      <c r="AW41" s="26"/>
      <c r="AX41" s="117">
        <f>(BV40+BW40-AQ41)*60</f>
        <v>0</v>
      </c>
      <c r="AY41" s="29"/>
      <c r="AZ41" s="29"/>
      <c r="BA41" s="115" t="s">
        <v>55</v>
      </c>
      <c r="BB41" s="55"/>
      <c r="BC41" s="3"/>
      <c r="BD41" s="3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82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K41" s="63" t="s">
        <v>78</v>
      </c>
      <c r="CL41" s="55"/>
    </row>
    <row r="42" ht="15" customHeight="1" spans="1:86" x14ac:dyDescent="0.25">
      <c r="A42" s="49"/>
      <c r="B42" s="2"/>
      <c r="C42" s="2"/>
      <c r="D42" s="44"/>
      <c r="E42" s="113" t="s">
        <v>95</v>
      </c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55"/>
      <c r="W42" s="114">
        <f>COUNTIF($AJ$9:$AO$39,"有給休暇")</f>
        <v>0</v>
      </c>
      <c r="X42" s="26"/>
      <c r="Y42" s="115" t="s">
        <v>35</v>
      </c>
      <c r="Z42" s="55"/>
      <c r="AA42" s="113" t="s">
        <v>96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55"/>
      <c r="AQ42" s="116">
        <f>ROUNDDOWN(BY40,0)</f>
        <v>0</v>
      </c>
      <c r="AR42" s="29"/>
      <c r="AS42" s="29"/>
      <c r="AT42" s="29"/>
      <c r="AU42" s="115" t="s">
        <v>80</v>
      </c>
      <c r="AV42" s="26"/>
      <c r="AW42" s="26"/>
      <c r="AX42" s="117">
        <f>(BY40-AQ42)*60</f>
        <v>30</v>
      </c>
      <c r="AY42" s="29"/>
      <c r="AZ42" s="29"/>
      <c r="BA42" s="115" t="s">
        <v>55</v>
      </c>
      <c r="BB42" s="55"/>
      <c r="BC42" s="3"/>
      <c r="BD42" s="3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</row>
    <row r="43" ht="15" customHeight="1" spans="1:86" x14ac:dyDescent="0.25">
      <c r="A43" s="49"/>
      <c r="B43" s="2"/>
      <c r="C43" s="2"/>
      <c r="D43" s="44"/>
      <c r="E43" s="118" t="s">
        <v>97</v>
      </c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55"/>
      <c r="W43" s="114">
        <f>COUNTIF($AJ$9:$AO$39,"欠勤")</f>
        <v>0</v>
      </c>
      <c r="X43" s="26"/>
      <c r="Y43" s="115" t="s">
        <v>35</v>
      </c>
      <c r="Z43" s="55"/>
      <c r="AA43" s="113" t="s">
        <v>98</v>
      </c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55"/>
      <c r="AQ43" s="116">
        <f>ROUNDDOWN(BZ40,0)</f>
        <v>0</v>
      </c>
      <c r="AR43" s="29"/>
      <c r="AS43" s="29"/>
      <c r="AT43" s="29"/>
      <c r="AU43" s="115" t="s">
        <v>80</v>
      </c>
      <c r="AV43" s="26"/>
      <c r="AW43" s="26"/>
      <c r="AX43" s="117">
        <f>(BZ40-AQ43)*60</f>
        <v>0</v>
      </c>
      <c r="AY43" s="29"/>
      <c r="AZ43" s="29"/>
      <c r="BA43" s="115" t="s">
        <v>55</v>
      </c>
      <c r="BB43" s="55"/>
      <c r="BC43" s="3"/>
      <c r="BD43" s="3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</row>
    <row r="44" ht="15" customHeight="1" spans="1:86" x14ac:dyDescent="0.25">
      <c r="A44" s="49"/>
      <c r="B44" s="2"/>
      <c r="C44" s="2"/>
      <c r="D44" s="44"/>
      <c r="E44" s="113" t="s">
        <v>99</v>
      </c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55"/>
      <c r="W44" s="114">
        <f>COUNTIF($AJ$9:$AO$39,"特別休暇")</f>
        <v>0</v>
      </c>
      <c r="X44" s="26"/>
      <c r="Y44" s="115" t="s">
        <v>35</v>
      </c>
      <c r="Z44" s="55"/>
      <c r="AA44" s="113" t="s">
        <v>100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55"/>
      <c r="AQ44" s="116">
        <f>ROUNDDOWN(CA40,0)</f>
        <v>0</v>
      </c>
      <c r="AR44" s="29"/>
      <c r="AS44" s="29"/>
      <c r="AT44" s="29"/>
      <c r="AU44" s="115" t="s">
        <v>80</v>
      </c>
      <c r="AV44" s="26"/>
      <c r="AW44" s="26"/>
      <c r="AX44" s="117">
        <f>(CA40-AQ44)*60</f>
        <v>0</v>
      </c>
      <c r="AY44" s="29"/>
      <c r="AZ44" s="29"/>
      <c r="BA44" s="115" t="s">
        <v>55</v>
      </c>
      <c r="BB44" s="55"/>
      <c r="BC44" s="3"/>
      <c r="BD44" s="3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</row>
    <row r="45" ht="15" customHeight="1" spans="1:86" x14ac:dyDescent="0.25">
      <c r="A45" s="49"/>
      <c r="B45" s="2"/>
      <c r="C45" s="2"/>
      <c r="D45" s="44"/>
      <c r="E45" s="118" t="s">
        <v>101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55"/>
      <c r="W45" s="114">
        <f>COUNTIF(BK9:BK39,"="&amp;2)</f>
        <v>0</v>
      </c>
      <c r="X45" s="26"/>
      <c r="Y45" s="115" t="s">
        <v>35</v>
      </c>
      <c r="Z45" s="55"/>
      <c r="AA45" s="113" t="s">
        <v>102</v>
      </c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55"/>
      <c r="AQ45" s="116">
        <f>ROUNDDOWN(CB40,0)</f>
        <v>0</v>
      </c>
      <c r="AR45" s="29"/>
      <c r="AS45" s="29"/>
      <c r="AT45" s="29"/>
      <c r="AU45" s="115" t="s">
        <v>80</v>
      </c>
      <c r="AV45" s="26"/>
      <c r="AW45" s="26"/>
      <c r="AX45" s="117">
        <f>(CB40-AQ45)*60</f>
        <v>0</v>
      </c>
      <c r="AY45" s="29"/>
      <c r="AZ45" s="29"/>
      <c r="BA45" s="115" t="s">
        <v>55</v>
      </c>
      <c r="BB45" s="55"/>
      <c r="BC45" s="3"/>
      <c r="BD45" s="3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</row>
    <row r="46" ht="15" customHeight="1" spans="1:86" x14ac:dyDescent="0.25">
      <c r="A46" s="49"/>
      <c r="B46" s="2"/>
      <c r="C46" s="2"/>
      <c r="D46" s="44"/>
      <c r="E46" s="118" t="s">
        <v>103</v>
      </c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55"/>
      <c r="W46" s="114">
        <f>COUNTIF(BK9:BK39,"="&amp;1)</f>
        <v>0</v>
      </c>
      <c r="X46" s="26"/>
      <c r="Y46" s="115" t="s">
        <v>35</v>
      </c>
      <c r="Z46" s="55"/>
      <c r="AA46" s="119" t="s">
        <v>104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55"/>
      <c r="AQ46" s="120">
        <v>0</v>
      </c>
      <c r="AR46" s="29"/>
      <c r="AS46" s="29"/>
      <c r="AT46" s="29"/>
      <c r="AU46" s="121" t="s">
        <v>80</v>
      </c>
      <c r="AV46" s="26"/>
      <c r="AW46" s="26"/>
      <c r="AX46" s="122">
        <v>0</v>
      </c>
      <c r="AY46" s="29"/>
      <c r="AZ46" s="29"/>
      <c r="BA46" s="121" t="s">
        <v>55</v>
      </c>
      <c r="BB46" s="55"/>
      <c r="BC46" s="3"/>
      <c r="BD46" s="3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</row>
    <row r="47" ht="15" customHeight="1" spans="1:86" x14ac:dyDescent="0.25">
      <c r="A47" s="47"/>
      <c r="B47" s="14"/>
      <c r="C47" s="14"/>
      <c r="D47" s="48"/>
      <c r="E47" s="118" t="s">
        <v>105</v>
      </c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55"/>
      <c r="W47" s="114">
        <f>COUNTIF($AJ$9:$AO$39,"振替休日")</f>
        <v>0</v>
      </c>
      <c r="X47" s="26"/>
      <c r="Y47" s="115" t="s">
        <v>35</v>
      </c>
      <c r="Z47" s="55"/>
      <c r="AA47" s="119" t="s">
        <v>106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55"/>
      <c r="AQ47" s="123">
        <v>0</v>
      </c>
      <c r="AR47" s="26"/>
      <c r="AS47" s="26"/>
      <c r="AT47" s="26"/>
      <c r="AU47" s="121" t="s">
        <v>80</v>
      </c>
      <c r="AV47" s="26"/>
      <c r="AW47" s="26"/>
      <c r="AX47" s="124">
        <v>0</v>
      </c>
      <c r="AY47" s="26"/>
      <c r="AZ47" s="26"/>
      <c r="BA47" s="121" t="s">
        <v>55</v>
      </c>
      <c r="BB47" s="55"/>
      <c r="BC47" s="3"/>
      <c r="BD47" s="3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</row>
    <row r="48" ht="8.25" customHeight="1" spans="1:8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</row>
    <row r="49" ht="9" customHeight="1" spans="1:86" x14ac:dyDescent="0.25">
      <c r="A49" s="125" t="s">
        <v>107</v>
      </c>
      <c r="B49" s="126"/>
      <c r="C49" s="126"/>
      <c r="D49" s="126"/>
      <c r="E49" s="126"/>
      <c r="F49" s="127"/>
      <c r="G49" s="128" t="s">
        <v>108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129"/>
      <c r="AG49" s="130" t="s">
        <v>109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3"/>
      <c r="BD49" s="3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</row>
    <row r="50" ht="9" customHeight="1" spans="1:86" x14ac:dyDescent="0.25">
      <c r="A50" s="131"/>
      <c r="B50" s="132"/>
      <c r="C50" s="132"/>
      <c r="D50" s="132"/>
      <c r="E50" s="132"/>
      <c r="F50" s="133"/>
      <c r="G50" s="13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129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3"/>
      <c r="BD50" s="3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</row>
    <row r="51" ht="9" customHeight="1" spans="1:86" x14ac:dyDescent="0.25">
      <c r="A51" s="135"/>
      <c r="B51" s="135"/>
      <c r="C51" s="135"/>
      <c r="D51" s="135"/>
      <c r="E51" s="135"/>
      <c r="F51" s="135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3"/>
      <c r="BD51" s="3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</row>
    <row r="52" ht="7.5" customHeight="1" spans="1:86" x14ac:dyDescent="0.25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  <c r="AV52" s="139"/>
      <c r="AW52" s="139"/>
      <c r="AX52" s="139"/>
      <c r="AY52" s="139"/>
      <c r="AZ52" s="139"/>
      <c r="BA52" s="139"/>
      <c r="BB52" s="139"/>
      <c r="BC52" s="3"/>
      <c r="BD52" s="3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</row>
    <row r="53" ht="12" customHeight="1" spans="1:86" x14ac:dyDescent="0.25">
      <c r="A53" s="140" t="s">
        <v>110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7"/>
      <c r="AA53" s="138"/>
      <c r="AB53" s="138"/>
      <c r="AC53" s="138"/>
      <c r="AD53" s="141"/>
      <c r="AE53" s="2"/>
      <c r="AF53" s="2"/>
      <c r="AG53" s="2"/>
      <c r="AH53" s="2"/>
      <c r="AI53" s="2"/>
      <c r="AJ53" s="2"/>
      <c r="AK53" s="136"/>
      <c r="AL53" s="136"/>
      <c r="AM53" s="141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3"/>
      <c r="BA53" s="3"/>
      <c r="BB53" s="3"/>
      <c r="BC53" s="3"/>
      <c r="BD53" s="3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</row>
    <row r="54" ht="12" customHeight="1" spans="1:86" x14ac:dyDescent="0.25">
      <c r="A54" s="1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142"/>
      <c r="AA54" s="3"/>
      <c r="AB54" s="3"/>
      <c r="AC54" s="3"/>
      <c r="AD54" s="143"/>
      <c r="AE54" s="143"/>
      <c r="AF54" s="143"/>
      <c r="AG54" s="143"/>
      <c r="AH54" s="143"/>
      <c r="AI54" s="144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3"/>
      <c r="BD54" s="3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</row>
    <row r="55" ht="12" customHeight="1" spans="1:86" x14ac:dyDescent="0.25">
      <c r="A55" s="145" t="s">
        <v>111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142"/>
      <c r="AA55" s="3"/>
      <c r="AB55" s="3"/>
      <c r="AC55" s="146" t="s">
        <v>112</v>
      </c>
      <c r="AD55" s="26"/>
      <c r="AE55" s="26"/>
      <c r="AF55" s="26"/>
      <c r="AG55" s="26"/>
      <c r="AH55" s="55"/>
      <c r="AI55" s="147"/>
      <c r="AJ55" s="147"/>
      <c r="AK55" s="146" t="s">
        <v>113</v>
      </c>
      <c r="AL55" s="26"/>
      <c r="AM55" s="26"/>
      <c r="AN55" s="26"/>
      <c r="AO55" s="26"/>
      <c r="AP55" s="55"/>
      <c r="AQ55" s="146" t="s">
        <v>114</v>
      </c>
      <c r="AR55" s="26"/>
      <c r="AS55" s="26"/>
      <c r="AT55" s="26"/>
      <c r="AU55" s="26"/>
      <c r="AV55" s="55"/>
      <c r="AW55" s="146" t="s">
        <v>115</v>
      </c>
      <c r="AX55" s="26"/>
      <c r="AY55" s="26"/>
      <c r="AZ55" s="26"/>
      <c r="BA55" s="26"/>
      <c r="BB55" s="55"/>
      <c r="BC55" s="3"/>
      <c r="BD55" s="3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</row>
    <row r="56" ht="13.5" customHeight="1" spans="1:86" x14ac:dyDescent="0.25">
      <c r="A56" s="1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142"/>
      <c r="AA56" s="3"/>
      <c r="AB56" s="3"/>
      <c r="AC56" s="148" t="s">
        <v>116</v>
      </c>
      <c r="AD56" s="29"/>
      <c r="AE56" s="29"/>
      <c r="AF56" s="29"/>
      <c r="AG56" s="29"/>
      <c r="AH56" s="37"/>
      <c r="AI56" s="11"/>
      <c r="AJ56" s="11"/>
      <c r="AK56" s="149"/>
      <c r="AL56" s="29"/>
      <c r="AM56" s="29"/>
      <c r="AN56" s="29"/>
      <c r="AO56" s="29"/>
      <c r="AP56" s="37"/>
      <c r="AQ56" s="149"/>
      <c r="AR56" s="29"/>
      <c r="AS56" s="29"/>
      <c r="AT56" s="29"/>
      <c r="AU56" s="29"/>
      <c r="AV56" s="37"/>
      <c r="AW56" s="149"/>
      <c r="AX56" s="29"/>
      <c r="AY56" s="29"/>
      <c r="AZ56" s="29"/>
      <c r="BA56" s="29"/>
      <c r="BB56" s="37"/>
      <c r="BC56" s="3"/>
      <c r="BD56" s="3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</row>
    <row r="57" ht="13.5" customHeight="1" spans="1:86" x14ac:dyDescent="0.25">
      <c r="A57" s="150"/>
      <c r="B57" s="151"/>
      <c r="C57" s="151"/>
      <c r="D57" s="151"/>
      <c r="E57" s="151"/>
      <c r="F57" s="151"/>
      <c r="G57" s="151"/>
      <c r="H57" s="152" t="s">
        <v>117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142"/>
      <c r="AA57" s="3"/>
      <c r="AB57" s="3"/>
      <c r="AC57" s="49"/>
      <c r="AD57" s="2"/>
      <c r="AE57" s="2"/>
      <c r="AF57" s="2"/>
      <c r="AG57" s="2"/>
      <c r="AH57" s="44"/>
      <c r="AI57" s="11"/>
      <c r="AJ57" s="11"/>
      <c r="AK57" s="49"/>
      <c r="AL57" s="2"/>
      <c r="AM57" s="2"/>
      <c r="AN57" s="2"/>
      <c r="AO57" s="2"/>
      <c r="AP57" s="44"/>
      <c r="AQ57" s="49"/>
      <c r="AR57" s="2"/>
      <c r="AS57" s="2"/>
      <c r="AT57" s="2"/>
      <c r="AU57" s="2"/>
      <c r="AV57" s="44"/>
      <c r="AW57" s="49"/>
      <c r="AX57" s="2"/>
      <c r="AY57" s="2"/>
      <c r="AZ57" s="2"/>
      <c r="BA57" s="2"/>
      <c r="BB57" s="44"/>
      <c r="BC57" s="3"/>
      <c r="BD57" s="3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</row>
    <row r="58" ht="14.25" customHeight="1" spans="1:86" x14ac:dyDescent="0.25">
      <c r="A58" s="153"/>
      <c r="B58" s="154"/>
      <c r="C58" s="154"/>
      <c r="D58" s="154"/>
      <c r="E58" s="154"/>
      <c r="F58" s="154"/>
      <c r="G58" s="15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142"/>
      <c r="AA58" s="3"/>
      <c r="AB58" s="3"/>
      <c r="AC58" s="49"/>
      <c r="AD58" s="2"/>
      <c r="AE58" s="2"/>
      <c r="AF58" s="2"/>
      <c r="AG58" s="2"/>
      <c r="AH58" s="44"/>
      <c r="AI58" s="11"/>
      <c r="AJ58" s="11"/>
      <c r="AK58" s="49"/>
      <c r="AL58" s="2"/>
      <c r="AM58" s="2"/>
      <c r="AN58" s="2"/>
      <c r="AO58" s="2"/>
      <c r="AP58" s="44"/>
      <c r="AQ58" s="49"/>
      <c r="AR58" s="2"/>
      <c r="AS58" s="2"/>
      <c r="AT58" s="2"/>
      <c r="AU58" s="2"/>
      <c r="AV58" s="44"/>
      <c r="AW58" s="49"/>
      <c r="AX58" s="2"/>
      <c r="AY58" s="2"/>
      <c r="AZ58" s="2"/>
      <c r="BA58" s="2"/>
      <c r="BB58" s="44"/>
      <c r="BC58" s="3"/>
      <c r="BD58" s="3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</row>
    <row r="59" ht="18.75" customHeight="1" spans="1:86" x14ac:dyDescent="0.25">
      <c r="A59" s="155"/>
      <c r="B59" s="156"/>
      <c r="C59" s="156" t="s">
        <v>118</v>
      </c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7"/>
      <c r="AA59" s="3"/>
      <c r="AB59" s="3"/>
      <c r="AC59" s="49"/>
      <c r="AD59" s="2"/>
      <c r="AE59" s="2"/>
      <c r="AF59" s="2"/>
      <c r="AG59" s="2"/>
      <c r="AH59" s="44"/>
      <c r="AI59" s="11"/>
      <c r="AJ59" s="11"/>
      <c r="AK59" s="49"/>
      <c r="AL59" s="2"/>
      <c r="AM59" s="2"/>
      <c r="AN59" s="2"/>
      <c r="AO59" s="2"/>
      <c r="AP59" s="44"/>
      <c r="AQ59" s="49"/>
      <c r="AR59" s="2"/>
      <c r="AS59" s="2"/>
      <c r="AT59" s="2"/>
      <c r="AU59" s="2"/>
      <c r="AV59" s="44"/>
      <c r="AW59" s="49"/>
      <c r="AX59" s="2"/>
      <c r="AY59" s="2"/>
      <c r="AZ59" s="2"/>
      <c r="BA59" s="2"/>
      <c r="BB59" s="44"/>
      <c r="BC59" s="158"/>
      <c r="BD59" s="158"/>
      <c r="BE59" s="159"/>
      <c r="BF59" s="159"/>
      <c r="BG59" s="159"/>
      <c r="BH59" s="159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</row>
    <row r="60" ht="7.5" customHeight="1" spans="1:86" x14ac:dyDescent="0.25">
      <c r="A60" s="160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2"/>
      <c r="Z60" s="163"/>
      <c r="AA60" s="3"/>
      <c r="AB60" s="3"/>
      <c r="AC60" s="47"/>
      <c r="AD60" s="14"/>
      <c r="AE60" s="14"/>
      <c r="AF60" s="14"/>
      <c r="AG60" s="14"/>
      <c r="AH60" s="48"/>
      <c r="AI60" s="11"/>
      <c r="AJ60" s="11"/>
      <c r="AK60" s="47"/>
      <c r="AL60" s="14"/>
      <c r="AM60" s="14"/>
      <c r="AN60" s="14"/>
      <c r="AO60" s="14"/>
      <c r="AP60" s="48"/>
      <c r="AQ60" s="47"/>
      <c r="AR60" s="14"/>
      <c r="AS60" s="14"/>
      <c r="AT60" s="14"/>
      <c r="AU60" s="14"/>
      <c r="AV60" s="48"/>
      <c r="AW60" s="47"/>
      <c r="AX60" s="14"/>
      <c r="AY60" s="14"/>
      <c r="AZ60" s="14"/>
      <c r="BA60" s="14"/>
      <c r="BB60" s="48"/>
      <c r="BC60" s="158"/>
      <c r="BD60" s="158"/>
      <c r="BE60" s="159"/>
      <c r="BF60" s="159"/>
      <c r="BG60" s="159"/>
      <c r="BH60" s="159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</row>
    <row r="61" ht="13.5" customHeight="1" spans="1:8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11"/>
      <c r="AC61" s="11"/>
      <c r="AD61" s="11"/>
      <c r="AE61" s="11"/>
      <c r="AF61" s="11"/>
      <c r="AG61" s="3"/>
      <c r="AH61" s="3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3"/>
      <c r="BD61" s="3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</row>
    <row r="62" ht="13.5" customHeight="1" spans="1:8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164"/>
      <c r="AC62" s="164"/>
      <c r="AD62" s="164"/>
      <c r="AE62" s="164"/>
      <c r="AF62" s="164"/>
      <c r="AG62" s="3"/>
      <c r="AH62" s="3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3"/>
      <c r="BD62" s="3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</row>
    <row r="63" ht="13.5" customHeight="1" spans="1:86" x14ac:dyDescent="0.25">
      <c r="A63" s="165"/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5"/>
      <c r="AC63" s="164"/>
      <c r="AD63" s="164"/>
      <c r="AE63" s="164"/>
      <c r="AF63" s="164"/>
      <c r="AG63" s="3"/>
      <c r="AH63" s="3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3"/>
      <c r="BD63" s="3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</row>
    <row r="64" ht="13.5" customHeight="1" spans="1:86" x14ac:dyDescent="0.25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  <c r="AA64" s="165"/>
      <c r="AB64" s="165"/>
      <c r="AC64" s="164"/>
      <c r="AD64" s="164"/>
      <c r="AE64" s="164"/>
      <c r="AF64" s="164"/>
      <c r="AG64" s="3"/>
      <c r="AH64" s="3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3"/>
      <c r="BD64" s="3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</row>
    <row r="65" ht="14.25" customHeight="1" spans="1:86" x14ac:dyDescent="0.25">
      <c r="A65" s="165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65"/>
      <c r="AC65" s="164"/>
      <c r="AD65" s="164"/>
      <c r="AE65" s="164"/>
      <c r="AF65" s="164"/>
      <c r="AG65" s="3"/>
      <c r="AH65" s="3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3"/>
      <c r="BD65" s="3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</row>
    <row r="66" ht="13.5" customHeight="1" spans="1:86" x14ac:dyDescent="0.25">
      <c r="A66" s="3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</row>
    <row r="67" ht="13.5" customHeight="1" spans="1:8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</row>
    <row r="68" ht="13.5" customHeight="1" spans="1:8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</row>
    <row r="69" ht="13.5" customHeight="1" spans="1:8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</row>
    <row r="70" ht="13.5" customHeight="1" spans="1:8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</row>
    <row r="71" ht="13.5" customHeight="1" spans="1:8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</row>
    <row r="72" ht="13.5" customHeight="1" spans="1:8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</row>
    <row r="73" ht="13.5" customHeight="1" spans="1:8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</row>
    <row r="74" ht="13.5" customHeight="1" spans="1:8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</row>
    <row r="75" ht="13.5" customHeight="1" spans="1:8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</row>
    <row r="76" ht="13.5" customHeight="1" spans="1:8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</row>
    <row r="77" ht="13.5" customHeight="1" spans="1:8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</row>
    <row r="78" ht="13.5" customHeight="1" spans="1:8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</row>
    <row r="79" ht="13.5" customHeight="1" spans="1:8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</row>
    <row r="80" ht="13.5" customHeight="1" spans="1:8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</row>
    <row r="81" ht="13.5" customHeight="1" spans="1:8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</row>
    <row r="82" ht="13.5" customHeight="1" spans="1:8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</row>
    <row r="83" ht="13.5" customHeight="1" spans="1:8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</row>
    <row r="84" ht="13.5" customHeight="1" spans="1:8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</row>
    <row r="85" ht="13.5" customHeight="1" spans="1:8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</row>
    <row r="86" ht="13.5" customHeight="1" spans="1:8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</row>
    <row r="87" ht="13.5" customHeight="1" spans="1:8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</row>
    <row r="88" ht="13.5" customHeight="1" spans="1:8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</row>
    <row r="89" ht="13.5" customHeight="1" spans="1:8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</row>
    <row r="90" ht="13.5" customHeight="1" spans="1:8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</row>
    <row r="91" ht="13.5" customHeight="1" spans="1:8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</row>
    <row r="92" ht="13.5" customHeight="1" spans="1:8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</row>
    <row r="93" ht="13.5" customHeight="1" spans="1:8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</row>
    <row r="94" ht="13.5" customHeight="1" spans="1:8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</row>
    <row r="95" ht="13.5" customHeight="1" spans="1:8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</row>
    <row r="96" ht="13.5" customHeight="1" spans="1:8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</row>
    <row r="97" ht="13.5" customHeight="1" spans="1:8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</row>
    <row r="98" ht="13.5" customHeight="1" spans="1:8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</row>
    <row r="99" ht="13.5" customHeight="1" spans="1:8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</row>
    <row r="100" ht="13.5" customHeight="1" spans="1:8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</row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34">
    <mergeCell ref="A1:BB1"/>
    <mergeCell ref="AM2:AP2"/>
    <mergeCell ref="AQ2:BB2"/>
    <mergeCell ref="A3:E4"/>
    <mergeCell ref="F3:H4"/>
    <mergeCell ref="I3:L4"/>
    <mergeCell ref="M3:P4"/>
    <mergeCell ref="AM3:AP3"/>
    <mergeCell ref="AQ3:BB3"/>
    <mergeCell ref="AM4:AP4"/>
    <mergeCell ref="AQ4:AY4"/>
    <mergeCell ref="AZ4:BB5"/>
    <mergeCell ref="B5:D5"/>
    <mergeCell ref="E5:F5"/>
    <mergeCell ref="G5:I5"/>
    <mergeCell ref="J5:K5"/>
    <mergeCell ref="L5:N5"/>
    <mergeCell ref="O5:Q5"/>
    <mergeCell ref="R5:S5"/>
    <mergeCell ref="T5:V5"/>
    <mergeCell ref="W5:X5"/>
    <mergeCell ref="AM5:AP5"/>
    <mergeCell ref="AQ5:AR5"/>
    <mergeCell ref="A6:D7"/>
    <mergeCell ref="E6:H7"/>
    <mergeCell ref="I6:L7"/>
    <mergeCell ref="M6:N7"/>
    <mergeCell ref="O6:R7"/>
    <mergeCell ref="S6:V7"/>
    <mergeCell ref="W6:Z7"/>
    <mergeCell ref="AA6:AD7"/>
    <mergeCell ref="AE6:AI8"/>
    <mergeCell ref="AJ6:AO8"/>
    <mergeCell ref="AQ6:BB8"/>
    <mergeCell ref="AP6:AP8"/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9:B9"/>
    <mergeCell ref="C9:D9"/>
    <mergeCell ref="E9:F9"/>
    <mergeCell ref="G9:H9"/>
    <mergeCell ref="I9:J9"/>
    <mergeCell ref="K9:L9"/>
    <mergeCell ref="M9:N9"/>
    <mergeCell ref="O9:R9"/>
    <mergeCell ref="S9:V9"/>
    <mergeCell ref="W9:Z9"/>
    <mergeCell ref="AA9:AD9"/>
    <mergeCell ref="AE9:AI9"/>
    <mergeCell ref="AJ9:AM9"/>
    <mergeCell ref="AN9:AO9"/>
    <mergeCell ref="AQ9:AR9"/>
    <mergeCell ref="AS9:AU9"/>
    <mergeCell ref="AW9:AY9"/>
    <mergeCell ref="A10:B10"/>
    <mergeCell ref="C10:D10"/>
    <mergeCell ref="E10:F10"/>
    <mergeCell ref="G10:H10"/>
    <mergeCell ref="I10:J10"/>
    <mergeCell ref="K10:L10"/>
    <mergeCell ref="M10:N10"/>
    <mergeCell ref="O10:R10"/>
    <mergeCell ref="S10:V10"/>
    <mergeCell ref="W10:Z10"/>
    <mergeCell ref="AA10:AD10"/>
    <mergeCell ref="AE10:AI10"/>
    <mergeCell ref="AJ10:AM10"/>
    <mergeCell ref="AN10:AO10"/>
    <mergeCell ref="AQ10:AR15"/>
    <mergeCell ref="AS10:AU10"/>
    <mergeCell ref="AW10:AY10"/>
    <mergeCell ref="A11:B11"/>
    <mergeCell ref="C11:D11"/>
    <mergeCell ref="E11:F11"/>
    <mergeCell ref="G11:H11"/>
    <mergeCell ref="I11:J11"/>
    <mergeCell ref="K11:L11"/>
    <mergeCell ref="M11:N11"/>
    <mergeCell ref="O11:R11"/>
    <mergeCell ref="S11:V11"/>
    <mergeCell ref="W11:Z11"/>
    <mergeCell ref="AA11:AD11"/>
    <mergeCell ref="AE11:AI11"/>
    <mergeCell ref="AJ11:AM11"/>
    <mergeCell ref="AN11:AO11"/>
    <mergeCell ref="AS11:AU11"/>
    <mergeCell ref="AW11:AY11"/>
    <mergeCell ref="CK11:CL11"/>
    <mergeCell ref="A12:B12"/>
    <mergeCell ref="C12:D12"/>
    <mergeCell ref="E12:F12"/>
    <mergeCell ref="G12:H12"/>
    <mergeCell ref="I12:J12"/>
    <mergeCell ref="K12:L12"/>
    <mergeCell ref="M12:N12"/>
    <mergeCell ref="O12:R12"/>
    <mergeCell ref="S12:V12"/>
    <mergeCell ref="W12:Z12"/>
    <mergeCell ref="AA12:AD12"/>
    <mergeCell ref="AE12:AI12"/>
    <mergeCell ref="AJ12:AM12"/>
    <mergeCell ref="AN12:AO12"/>
    <mergeCell ref="AS12:AU12"/>
    <mergeCell ref="AW12:AY12"/>
    <mergeCell ref="BA12:BB12"/>
    <mergeCell ref="CK12:CL12"/>
    <mergeCell ref="A13:B13"/>
    <mergeCell ref="C13:D13"/>
    <mergeCell ref="E13:F13"/>
    <mergeCell ref="G13:H13"/>
    <mergeCell ref="I13:J13"/>
    <mergeCell ref="K13:L13"/>
    <mergeCell ref="M13:N13"/>
    <mergeCell ref="O13:R13"/>
    <mergeCell ref="S13:V13"/>
    <mergeCell ref="W13:Z13"/>
    <mergeCell ref="AA13:AD13"/>
    <mergeCell ref="AE13:AI13"/>
    <mergeCell ref="AJ13:AM13"/>
    <mergeCell ref="AN13:AO13"/>
    <mergeCell ref="AS13:AU13"/>
    <mergeCell ref="AW13:AY13"/>
    <mergeCell ref="BA13:BB13"/>
    <mergeCell ref="CK13:CL13"/>
    <mergeCell ref="A14:B14"/>
    <mergeCell ref="C14:D14"/>
    <mergeCell ref="E14:F14"/>
    <mergeCell ref="G14:H14"/>
    <mergeCell ref="I14:J14"/>
    <mergeCell ref="K14:L14"/>
    <mergeCell ref="M14:N14"/>
    <mergeCell ref="O14:R14"/>
    <mergeCell ref="S14:V14"/>
    <mergeCell ref="W14:Z14"/>
    <mergeCell ref="AA14:AD14"/>
    <mergeCell ref="AE14:AI14"/>
    <mergeCell ref="AJ14:AM14"/>
    <mergeCell ref="AN14:AO14"/>
    <mergeCell ref="AS14:AU14"/>
    <mergeCell ref="AW14:AY14"/>
    <mergeCell ref="BA14:BB14"/>
    <mergeCell ref="CK14:CL14"/>
    <mergeCell ref="A15:B15"/>
    <mergeCell ref="C15:D15"/>
    <mergeCell ref="E15:F15"/>
    <mergeCell ref="G15:H15"/>
    <mergeCell ref="I15:J15"/>
    <mergeCell ref="K15:L15"/>
    <mergeCell ref="M15:N15"/>
    <mergeCell ref="O15:R15"/>
    <mergeCell ref="S15:V15"/>
    <mergeCell ref="W15:Z15"/>
    <mergeCell ref="AA15:AD15"/>
    <mergeCell ref="AE15:AI15"/>
    <mergeCell ref="AJ15:AM15"/>
    <mergeCell ref="AN15:AO15"/>
    <mergeCell ref="AS15:AU15"/>
    <mergeCell ref="AW15:AY15"/>
    <mergeCell ref="BA15:BB15"/>
    <mergeCell ref="CK15:CL15"/>
    <mergeCell ref="A16:B16"/>
    <mergeCell ref="C16:D16"/>
    <mergeCell ref="E16:F16"/>
    <mergeCell ref="G16:H16"/>
    <mergeCell ref="I16:J16"/>
    <mergeCell ref="K16:L16"/>
    <mergeCell ref="M16:N16"/>
    <mergeCell ref="O16:R16"/>
    <mergeCell ref="S16:V16"/>
    <mergeCell ref="W16:Z16"/>
    <mergeCell ref="AA16:AD16"/>
    <mergeCell ref="AE16:AI16"/>
    <mergeCell ref="AJ16:AM16"/>
    <mergeCell ref="AN16:AO16"/>
    <mergeCell ref="AQ16:AV16"/>
    <mergeCell ref="AZ16:BA16"/>
    <mergeCell ref="CK16:CL16"/>
    <mergeCell ref="A17:B17"/>
    <mergeCell ref="C17:D17"/>
    <mergeCell ref="E17:F17"/>
    <mergeCell ref="G17:H17"/>
    <mergeCell ref="I17:J17"/>
    <mergeCell ref="K17:L17"/>
    <mergeCell ref="M17:N17"/>
    <mergeCell ref="O17:R17"/>
    <mergeCell ref="S17:V17"/>
    <mergeCell ref="W17:Z17"/>
    <mergeCell ref="AA17:AD17"/>
    <mergeCell ref="AE17:AI17"/>
    <mergeCell ref="AJ17:AM17"/>
    <mergeCell ref="AN17:AO17"/>
    <mergeCell ref="AQ17:AV17"/>
    <mergeCell ref="AZ17:BA17"/>
    <mergeCell ref="CK17:CL17"/>
    <mergeCell ref="A18:B18"/>
    <mergeCell ref="C18:D18"/>
    <mergeCell ref="E18:F18"/>
    <mergeCell ref="G18:H18"/>
    <mergeCell ref="I18:J18"/>
    <mergeCell ref="K18:L18"/>
    <mergeCell ref="M18:N18"/>
    <mergeCell ref="O18:R18"/>
    <mergeCell ref="S18:V18"/>
    <mergeCell ref="W18:Z18"/>
    <mergeCell ref="AA18:AD18"/>
    <mergeCell ref="AE18:AI18"/>
    <mergeCell ref="AJ18:AM18"/>
    <mergeCell ref="AN18:AO18"/>
    <mergeCell ref="AQ18:BB19"/>
    <mergeCell ref="CK18:CL18"/>
    <mergeCell ref="A19:B19"/>
    <mergeCell ref="C19:D19"/>
    <mergeCell ref="E19:F19"/>
    <mergeCell ref="G19:H19"/>
    <mergeCell ref="I19:J19"/>
    <mergeCell ref="K19:L19"/>
    <mergeCell ref="M19:N19"/>
    <mergeCell ref="O19:R19"/>
    <mergeCell ref="S19:V19"/>
    <mergeCell ref="W19:Z19"/>
    <mergeCell ref="AA19:AD19"/>
    <mergeCell ref="AE19:AI19"/>
    <mergeCell ref="AJ19:AM19"/>
    <mergeCell ref="AN19:AO19"/>
    <mergeCell ref="CK19:CL19"/>
    <mergeCell ref="A20:B20"/>
    <mergeCell ref="C20:D20"/>
    <mergeCell ref="E20:F20"/>
    <mergeCell ref="G20:H20"/>
    <mergeCell ref="I20:J20"/>
    <mergeCell ref="K20:L20"/>
    <mergeCell ref="M20:N20"/>
    <mergeCell ref="O20:R20"/>
    <mergeCell ref="S20:V20"/>
    <mergeCell ref="W20:Z20"/>
    <mergeCell ref="AA20:AD20"/>
    <mergeCell ref="AE20:AI20"/>
    <mergeCell ref="AJ20:AM20"/>
    <mergeCell ref="AN20:AO20"/>
    <mergeCell ref="AQ20:BB20"/>
    <mergeCell ref="CK20:CL20"/>
    <mergeCell ref="A21:B21"/>
    <mergeCell ref="C21:D21"/>
    <mergeCell ref="E21:F21"/>
    <mergeCell ref="G21:H21"/>
    <mergeCell ref="I21:J21"/>
    <mergeCell ref="K21:L21"/>
    <mergeCell ref="M21:N21"/>
    <mergeCell ref="O21:R21"/>
    <mergeCell ref="S21:V21"/>
    <mergeCell ref="W21:Z21"/>
    <mergeCell ref="AA21:AD21"/>
    <mergeCell ref="AE21:AI21"/>
    <mergeCell ref="AJ21:AM21"/>
    <mergeCell ref="AN21:AO21"/>
    <mergeCell ref="AQ21:BB22"/>
    <mergeCell ref="CK21:CL21"/>
    <mergeCell ref="A22:B22"/>
    <mergeCell ref="C22:D22"/>
    <mergeCell ref="E22:F22"/>
    <mergeCell ref="G22:H22"/>
    <mergeCell ref="I22:J22"/>
    <mergeCell ref="K22:L22"/>
    <mergeCell ref="M22:N22"/>
    <mergeCell ref="O22:R22"/>
    <mergeCell ref="S22:V22"/>
    <mergeCell ref="W22:Z22"/>
    <mergeCell ref="AA22:AD22"/>
    <mergeCell ref="AE22:AI22"/>
    <mergeCell ref="AJ22:AM22"/>
    <mergeCell ref="AN22:AO22"/>
    <mergeCell ref="CK22:CL22"/>
    <mergeCell ref="A23:B23"/>
    <mergeCell ref="C23:D23"/>
    <mergeCell ref="E23:F23"/>
    <mergeCell ref="G23:H23"/>
    <mergeCell ref="I23:J23"/>
    <mergeCell ref="K23:L23"/>
    <mergeCell ref="M23:N23"/>
    <mergeCell ref="O23:R23"/>
    <mergeCell ref="S23:V23"/>
    <mergeCell ref="W23:Z23"/>
    <mergeCell ref="AA23:AD23"/>
    <mergeCell ref="AE23:AI23"/>
    <mergeCell ref="AJ23:AM23"/>
    <mergeCell ref="AN23:AO23"/>
    <mergeCell ref="AQ23:AR23"/>
    <mergeCell ref="AS23:BB23"/>
    <mergeCell ref="CK23:CL23"/>
    <mergeCell ref="A24:B24"/>
    <mergeCell ref="C24:D24"/>
    <mergeCell ref="E24:F24"/>
    <mergeCell ref="G24:H24"/>
    <mergeCell ref="I24:J24"/>
    <mergeCell ref="K24:L24"/>
    <mergeCell ref="M24:N24"/>
    <mergeCell ref="O24:R24"/>
    <mergeCell ref="S24:V24"/>
    <mergeCell ref="W24:Z24"/>
    <mergeCell ref="AA24:AD24"/>
    <mergeCell ref="AE24:AI24"/>
    <mergeCell ref="AJ24:AM24"/>
    <mergeCell ref="AN24:AO24"/>
    <mergeCell ref="AQ24:AV24"/>
    <mergeCell ref="AW24:AZ24"/>
    <mergeCell ref="CK24:CL24"/>
    <mergeCell ref="A25:B25"/>
    <mergeCell ref="C25:D25"/>
    <mergeCell ref="E25:F25"/>
    <mergeCell ref="G25:H25"/>
    <mergeCell ref="I25:J25"/>
    <mergeCell ref="K25:L25"/>
    <mergeCell ref="M25:N25"/>
    <mergeCell ref="O25:R25"/>
    <mergeCell ref="S25:V25"/>
    <mergeCell ref="W25:Z25"/>
    <mergeCell ref="AA25:AD25"/>
    <mergeCell ref="AE25:AI25"/>
    <mergeCell ref="AJ25:AM25"/>
    <mergeCell ref="AN25:AO25"/>
    <mergeCell ref="AQ25:BB26"/>
    <mergeCell ref="CK25:CL25"/>
    <mergeCell ref="A26:B26"/>
    <mergeCell ref="C26:D26"/>
    <mergeCell ref="E26:F26"/>
    <mergeCell ref="G26:H26"/>
    <mergeCell ref="I26:J26"/>
    <mergeCell ref="K26:L26"/>
    <mergeCell ref="M26:N26"/>
    <mergeCell ref="O26:R26"/>
    <mergeCell ref="S26:V26"/>
    <mergeCell ref="W26:Z26"/>
    <mergeCell ref="AA26:AD26"/>
    <mergeCell ref="AE26:AI26"/>
    <mergeCell ref="AJ26:AM26"/>
    <mergeCell ref="AN26:AO26"/>
    <mergeCell ref="CK26:CL26"/>
    <mergeCell ref="A27:B27"/>
    <mergeCell ref="C27:D27"/>
    <mergeCell ref="E27:F27"/>
    <mergeCell ref="G27:H27"/>
    <mergeCell ref="I27:J27"/>
    <mergeCell ref="K27:L27"/>
    <mergeCell ref="M27:N27"/>
    <mergeCell ref="O27:R27"/>
    <mergeCell ref="S27:V27"/>
    <mergeCell ref="W27:Z27"/>
    <mergeCell ref="AA27:AD27"/>
    <mergeCell ref="AE27:AI27"/>
    <mergeCell ref="AJ27:AM27"/>
    <mergeCell ref="AN27:AO27"/>
    <mergeCell ref="AQ27:AV27"/>
    <mergeCell ref="AW27:AZ27"/>
    <mergeCell ref="CK27:CL27"/>
    <mergeCell ref="A28:B28"/>
    <mergeCell ref="C28:D28"/>
    <mergeCell ref="E28:F28"/>
    <mergeCell ref="G28:H28"/>
    <mergeCell ref="I28:J28"/>
    <mergeCell ref="K28:L28"/>
    <mergeCell ref="M28:N28"/>
    <mergeCell ref="O28:R28"/>
    <mergeCell ref="S28:V28"/>
    <mergeCell ref="W28:Z28"/>
    <mergeCell ref="AA28:AD28"/>
    <mergeCell ref="AE28:AI28"/>
    <mergeCell ref="AJ28:AM28"/>
    <mergeCell ref="AN28:AO28"/>
    <mergeCell ref="AQ28:BB29"/>
    <mergeCell ref="CK28:CL28"/>
    <mergeCell ref="A29:B29"/>
    <mergeCell ref="C29:D29"/>
    <mergeCell ref="E29:F29"/>
    <mergeCell ref="G29:H29"/>
    <mergeCell ref="I29:J29"/>
    <mergeCell ref="K29:L29"/>
    <mergeCell ref="M29:N29"/>
    <mergeCell ref="O29:R29"/>
    <mergeCell ref="S29:V29"/>
    <mergeCell ref="W29:Z29"/>
    <mergeCell ref="AA29:AD29"/>
    <mergeCell ref="AE29:AI29"/>
    <mergeCell ref="AJ29:AM29"/>
    <mergeCell ref="AN29:AO29"/>
    <mergeCell ref="CK29:CL29"/>
    <mergeCell ref="A30:B30"/>
    <mergeCell ref="C30:D30"/>
    <mergeCell ref="E30:F30"/>
    <mergeCell ref="G30:H30"/>
    <mergeCell ref="I30:J30"/>
    <mergeCell ref="K30:L30"/>
    <mergeCell ref="M30:N30"/>
    <mergeCell ref="O30:R30"/>
    <mergeCell ref="S30:V30"/>
    <mergeCell ref="W30:Z30"/>
    <mergeCell ref="AA30:AD30"/>
    <mergeCell ref="AE30:AI30"/>
    <mergeCell ref="AJ30:AM30"/>
    <mergeCell ref="AN30:AO30"/>
    <mergeCell ref="AQ30:BB30"/>
    <mergeCell ref="CK30:CL30"/>
    <mergeCell ref="A31:B31"/>
    <mergeCell ref="C31:D31"/>
    <mergeCell ref="E31:F31"/>
    <mergeCell ref="G31:H31"/>
    <mergeCell ref="I31:J31"/>
    <mergeCell ref="K31:L31"/>
    <mergeCell ref="M31:N31"/>
    <mergeCell ref="O31:R31"/>
    <mergeCell ref="S31:V31"/>
    <mergeCell ref="W31:Z31"/>
    <mergeCell ref="AA31:AD31"/>
    <mergeCell ref="AE31:AI31"/>
    <mergeCell ref="AJ31:AM31"/>
    <mergeCell ref="AN31:AO31"/>
    <mergeCell ref="AQ31:BB39"/>
    <mergeCell ref="CK31:CL31"/>
    <mergeCell ref="A32:B32"/>
    <mergeCell ref="C32:D32"/>
    <mergeCell ref="E32:F32"/>
    <mergeCell ref="G32:H32"/>
    <mergeCell ref="I32:J32"/>
    <mergeCell ref="K32:L32"/>
    <mergeCell ref="M32:N32"/>
    <mergeCell ref="O32:R32"/>
    <mergeCell ref="S32:V32"/>
    <mergeCell ref="W32:Z32"/>
    <mergeCell ref="AA32:AD32"/>
    <mergeCell ref="AE32:AI32"/>
    <mergeCell ref="AJ32:AM32"/>
    <mergeCell ref="AN32:AO32"/>
    <mergeCell ref="CK32:CL32"/>
    <mergeCell ref="A33:B33"/>
    <mergeCell ref="C33:D33"/>
    <mergeCell ref="E33:F33"/>
    <mergeCell ref="G33:H33"/>
    <mergeCell ref="I33:J33"/>
    <mergeCell ref="K33:L33"/>
    <mergeCell ref="M33:N33"/>
    <mergeCell ref="O33:R33"/>
    <mergeCell ref="S33:V33"/>
    <mergeCell ref="W33:Z33"/>
    <mergeCell ref="AA33:AD33"/>
    <mergeCell ref="AE33:AI33"/>
    <mergeCell ref="AJ33:AM33"/>
    <mergeCell ref="AN33:AO33"/>
    <mergeCell ref="CK33:CL33"/>
    <mergeCell ref="A34:B34"/>
    <mergeCell ref="C34:D34"/>
    <mergeCell ref="E34:F34"/>
    <mergeCell ref="G34:H34"/>
    <mergeCell ref="I34:J34"/>
    <mergeCell ref="K34:L34"/>
    <mergeCell ref="M34:N34"/>
    <mergeCell ref="O34:R34"/>
    <mergeCell ref="S34:V34"/>
    <mergeCell ref="W34:Z34"/>
    <mergeCell ref="AA34:AD34"/>
    <mergeCell ref="AE34:AI34"/>
    <mergeCell ref="AJ34:AM34"/>
    <mergeCell ref="AN34:AO34"/>
    <mergeCell ref="CK34:CL34"/>
    <mergeCell ref="A35:B35"/>
    <mergeCell ref="C35:D35"/>
    <mergeCell ref="E35:F35"/>
    <mergeCell ref="G35:H35"/>
    <mergeCell ref="I35:J35"/>
    <mergeCell ref="K35:L35"/>
    <mergeCell ref="M35:N35"/>
    <mergeCell ref="O35:R35"/>
    <mergeCell ref="S35:V35"/>
    <mergeCell ref="W35:Z35"/>
    <mergeCell ref="AA35:AD35"/>
    <mergeCell ref="AE35:AI35"/>
    <mergeCell ref="AJ35:AM35"/>
    <mergeCell ref="AN35:AO35"/>
    <mergeCell ref="CK35:CL35"/>
    <mergeCell ref="A36:B36"/>
    <mergeCell ref="C36:D36"/>
    <mergeCell ref="E36:F36"/>
    <mergeCell ref="G36:H36"/>
    <mergeCell ref="I36:J36"/>
    <mergeCell ref="K36:L36"/>
    <mergeCell ref="M36:N36"/>
    <mergeCell ref="O36:R36"/>
    <mergeCell ref="S36:V36"/>
    <mergeCell ref="W36:Z36"/>
    <mergeCell ref="AA36:AD36"/>
    <mergeCell ref="AE36:AI36"/>
    <mergeCell ref="AJ36:AM36"/>
    <mergeCell ref="AN36:AO36"/>
    <mergeCell ref="CK36:CL36"/>
    <mergeCell ref="A37:B37"/>
    <mergeCell ref="C37:D37"/>
    <mergeCell ref="E37:F37"/>
    <mergeCell ref="G37:H37"/>
    <mergeCell ref="I37:J37"/>
    <mergeCell ref="K37:L37"/>
    <mergeCell ref="M37:N37"/>
    <mergeCell ref="O37:R37"/>
    <mergeCell ref="S37:V37"/>
    <mergeCell ref="W37:Z37"/>
    <mergeCell ref="AA37:AD37"/>
    <mergeCell ref="AE37:AI37"/>
    <mergeCell ref="AJ37:AM37"/>
    <mergeCell ref="AN37:AO37"/>
    <mergeCell ref="CK37:CL37"/>
    <mergeCell ref="A38:B38"/>
    <mergeCell ref="C38:D38"/>
    <mergeCell ref="E38:F38"/>
    <mergeCell ref="G38:H38"/>
    <mergeCell ref="I38:J38"/>
    <mergeCell ref="K38:L38"/>
    <mergeCell ref="M38:N38"/>
    <mergeCell ref="O38:R38"/>
    <mergeCell ref="S38:V38"/>
    <mergeCell ref="W38:Z38"/>
    <mergeCell ref="AA38:AD38"/>
    <mergeCell ref="AE38:AI38"/>
    <mergeCell ref="AJ38:AM38"/>
    <mergeCell ref="AN38:AO38"/>
    <mergeCell ref="CK38:CL38"/>
    <mergeCell ref="A39:B39"/>
    <mergeCell ref="C39:D39"/>
    <mergeCell ref="E39:F39"/>
    <mergeCell ref="G39:H39"/>
    <mergeCell ref="I39:J39"/>
    <mergeCell ref="K39:L39"/>
    <mergeCell ref="M39:N39"/>
    <mergeCell ref="O39:R39"/>
    <mergeCell ref="S39:V39"/>
    <mergeCell ref="W39:Z39"/>
    <mergeCell ref="AA39:AD39"/>
    <mergeCell ref="AE39:AI39"/>
    <mergeCell ref="AJ39:AM39"/>
    <mergeCell ref="AN39:AO39"/>
    <mergeCell ref="CK39:CL39"/>
    <mergeCell ref="A40:D47"/>
    <mergeCell ref="E40:V40"/>
    <mergeCell ref="W40:X40"/>
    <mergeCell ref="Y40:Z40"/>
    <mergeCell ref="AA40:AP40"/>
    <mergeCell ref="AQ40:AT40"/>
    <mergeCell ref="AU40:AW40"/>
    <mergeCell ref="AX40:AZ40"/>
    <mergeCell ref="BA40:BB40"/>
    <mergeCell ref="CK40:CL40"/>
    <mergeCell ref="E41:V41"/>
    <mergeCell ref="W41:X41"/>
    <mergeCell ref="Y41:Z41"/>
    <mergeCell ref="AA41:AP41"/>
    <mergeCell ref="AQ41:AT41"/>
    <mergeCell ref="AU41:AW41"/>
    <mergeCell ref="AX41:AZ41"/>
    <mergeCell ref="BA41:BB41"/>
    <mergeCell ref="CK41:CL41"/>
    <mergeCell ref="E42:V42"/>
    <mergeCell ref="W42:X42"/>
    <mergeCell ref="Y42:Z42"/>
    <mergeCell ref="AA42:AP42"/>
    <mergeCell ref="AQ42:AT42"/>
    <mergeCell ref="AU42:AW42"/>
    <mergeCell ref="AX42:AZ42"/>
    <mergeCell ref="BA42:BB42"/>
    <mergeCell ref="E43:V43"/>
    <mergeCell ref="W43:X43"/>
    <mergeCell ref="Y43:Z43"/>
    <mergeCell ref="AA43:AP43"/>
    <mergeCell ref="AQ43:AT43"/>
    <mergeCell ref="AU43:AW43"/>
    <mergeCell ref="AX43:AZ43"/>
    <mergeCell ref="BA43:BB43"/>
    <mergeCell ref="E44:V44"/>
    <mergeCell ref="W44:X44"/>
    <mergeCell ref="Y44:Z44"/>
    <mergeCell ref="AA44:AP44"/>
    <mergeCell ref="AQ44:AT44"/>
    <mergeCell ref="AU44:AW44"/>
    <mergeCell ref="AX44:AZ44"/>
    <mergeCell ref="BA44:BB44"/>
    <mergeCell ref="E45:V45"/>
    <mergeCell ref="W45:X45"/>
    <mergeCell ref="Y45:Z45"/>
    <mergeCell ref="AA45:AP45"/>
    <mergeCell ref="AQ45:AT45"/>
    <mergeCell ref="AU45:AW45"/>
    <mergeCell ref="AX45:AZ45"/>
    <mergeCell ref="BA45:BB45"/>
    <mergeCell ref="E46:V46"/>
    <mergeCell ref="W46:X46"/>
    <mergeCell ref="Y46:Z46"/>
    <mergeCell ref="AA46:AP46"/>
    <mergeCell ref="AQ46:AT46"/>
    <mergeCell ref="AU46:AW46"/>
    <mergeCell ref="AX46:AZ46"/>
    <mergeCell ref="BA46:BB46"/>
    <mergeCell ref="E47:V47"/>
    <mergeCell ref="W47:X47"/>
    <mergeCell ref="Y47:Z47"/>
    <mergeCell ref="AA47:AP47"/>
    <mergeCell ref="AQ47:AT47"/>
    <mergeCell ref="AU47:AW47"/>
    <mergeCell ref="AX47:AZ47"/>
    <mergeCell ref="BA47:BB47"/>
    <mergeCell ref="A49:F50"/>
    <mergeCell ref="G49:AE50"/>
    <mergeCell ref="AG49:BB50"/>
    <mergeCell ref="A53:Z54"/>
    <mergeCell ref="AD53:AJ53"/>
    <mergeCell ref="AM53:AY53"/>
    <mergeCell ref="AI54:BB54"/>
    <mergeCell ref="A55:Z56"/>
    <mergeCell ref="AC55:AH55"/>
    <mergeCell ref="AK55:AP55"/>
    <mergeCell ref="AQ55:AV55"/>
    <mergeCell ref="AW55:BB55"/>
    <mergeCell ref="AC56:AH60"/>
    <mergeCell ref="AK56:AP60"/>
    <mergeCell ref="AQ56:AV60"/>
    <mergeCell ref="AW56:BB60"/>
    <mergeCell ref="H57:Z58"/>
  </mergeCells>
  <conditionalFormatting sqref="A9:AJ39">
    <cfRule type="expression" dxfId="0" priority="1">
      <formula>$BH9=0</formula>
    </cfRule>
  </conditionalFormatting>
  <conditionalFormatting sqref="E9:L39">
    <cfRule type="expression" dxfId="1" priority="8">
      <formula>$BI9=1</formula>
    </cfRule>
  </conditionalFormatting>
  <conditionalFormatting sqref="O9:R39">
    <cfRule type="expression" dxfId="2" priority="9">
      <formula>$BX9&lt;&gt;0</formula>
    </cfRule>
  </conditionalFormatting>
  <conditionalFormatting sqref="S9:AD39">
    <cfRule type="expression" dxfId="3" priority="10">
      <formula>$CC9&lt;&gt;0</formula>
    </cfRule>
  </conditionalFormatting>
  <conditionalFormatting sqref="AN9:AN39 AJ9:AJ39">
    <cfRule type="expression" dxfId="4" priority="11">
      <formula>$BV9&gt;0</formula>
    </cfRule>
  </conditionalFormatting>
  <conditionalFormatting sqref="AN9:AN39">
    <cfRule type="expression" dxfId="5" priority="7">
      <formula>$BH9=0</formula>
    </cfRule>
  </conditionalFormatting>
  <conditionalFormatting sqref="CK11:CL41">
    <cfRule type="expression" dxfId="6" priority="6">
      <formula>$BH11=0</formula>
    </cfRule>
  </conditionalFormatting>
  <dataValidations count="5">
    <dataValidation type="list" allowBlank="1" showInputMessage="1" prompt="所属部署を選択" sqref="AQ2">
      <formula1>外勤</formula1>
    </dataValidation>
    <dataValidation type="custom" allowBlank="1" showInputMessage="1" prompt="15分単位で入力してください" showErrorMessage="1" sqref="G10:G39">
      <formula1>OR(G9=0,G9=15,G9=30,G9=45)</formula1>
    </dataValidation>
    <dataValidation type="custom" allowBlank="1" showInputMessage="1" prompt="15分単位で入力してください" showErrorMessage="1" sqref="G9:G39">
      <formula1>OR(G9=0,G9=15,G9=30,G9=45)</formula1>
    </dataValidation>
    <dataValidation type="custom" allowBlank="1" showInputMessage="1" prompt="15分単位で入力してください" showErrorMessage="1" sqref="K10:K39">
      <formula1>OR(G9=0,G9=15,G9=30,G9=45)</formula1>
    </dataValidation>
    <dataValidation type="custom" allowBlank="1" showInputMessage="1" prompt="15分単位で入力してください" showErrorMessage="1" sqref="K9:K39">
      <formula1>OR(G9=0,G9=15,G9=30,G9=45)</formula1>
    </dataValidation>
  </dataValidations>
  <printOptions horizontalCentered="1" verticalCentered="1"/>
  <pageMargins left="0.1968503937007874" right="0.1968503937007874" top="0.03937007874015748" bottom="0.31496062992125984" header="0" footer="0"/>
  <pageSetup paperSize="9" orientation="portrait" horizontalDpi="4294967295" verticalDpi="4294967295" scale="90" fitToWidth="1" fitToHeight="1" firstPageNumber="1" useFirstPageNumber="1" copies="1"/>
  <headerFooter>
    <oddFooter>&amp;R[20日締] C-1-2 タイムシート・業務報告書・社内用（雛型）２５１２２１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A1:K1000"/>
  <sheetViews>
    <sheetView workbookViewId="0" zoomScale="100" zoomScaleNormal="100"/>
  </sheetViews>
  <sheetFormatPr defaultRowHeight="15" outlineLevelRow="0" outlineLevelCol="0" x14ac:dyDescent="0.15" defaultColWidth="12.6640625"/>
  <cols>
    <col min="1" max="1" width="10.1640625" customWidth="1"/>
    <col min="2" max="7" width="7.83203125" customWidth="1"/>
    <col min="8" max="11" width="7.6640625" customWidth="1"/>
  </cols>
  <sheetData>
    <row r="1" ht="13.5" customHeight="1" spans="1:11" x14ac:dyDescent="0.25">
      <c r="A1" s="166">
        <v>45292</v>
      </c>
      <c r="B1" s="167" t="s">
        <v>119</v>
      </c>
      <c r="C1" s="167"/>
      <c r="D1" s="167"/>
      <c r="E1" s="167"/>
      <c r="F1" s="167"/>
      <c r="G1" s="167"/>
      <c r="H1" s="167"/>
      <c r="I1" s="167"/>
      <c r="J1" s="167"/>
      <c r="K1" s="167"/>
    </row>
    <row r="2" ht="13.5" customHeight="1" spans="1:11" x14ac:dyDescent="0.25">
      <c r="A2" s="166">
        <v>45293</v>
      </c>
      <c r="B2" s="167" t="s">
        <v>120</v>
      </c>
      <c r="C2" s="167"/>
      <c r="D2" s="167"/>
      <c r="E2" s="167"/>
      <c r="F2" s="167"/>
      <c r="G2" s="167"/>
      <c r="H2" s="167"/>
      <c r="I2" s="167"/>
      <c r="J2" s="167"/>
      <c r="K2" s="167"/>
    </row>
    <row r="3" ht="13.5" customHeight="1" spans="1:11" x14ac:dyDescent="0.25">
      <c r="A3" s="166">
        <v>45294</v>
      </c>
      <c r="B3" s="167" t="s">
        <v>120</v>
      </c>
      <c r="C3" s="167"/>
      <c r="D3" s="167"/>
      <c r="E3" s="167"/>
      <c r="F3" s="167"/>
      <c r="G3" s="167"/>
      <c r="H3" s="167"/>
      <c r="I3" s="167"/>
      <c r="J3" s="167"/>
      <c r="K3" s="167"/>
    </row>
    <row r="4" ht="13.5" customHeight="1" spans="1:11" x14ac:dyDescent="0.25">
      <c r="A4" s="166">
        <v>45299</v>
      </c>
      <c r="B4" s="167" t="s">
        <v>121</v>
      </c>
      <c r="C4" s="167"/>
      <c r="D4" s="167"/>
      <c r="E4" s="167"/>
      <c r="F4" s="167"/>
      <c r="G4" s="167"/>
      <c r="H4" s="167"/>
      <c r="I4" s="167"/>
      <c r="J4" s="167"/>
      <c r="K4" s="167"/>
    </row>
    <row r="5" ht="13.5" customHeight="1" spans="1:11" x14ac:dyDescent="0.25">
      <c r="A5" s="166">
        <v>45333</v>
      </c>
      <c r="B5" s="167" t="s">
        <v>122</v>
      </c>
      <c r="C5" s="167"/>
      <c r="D5" s="167"/>
      <c r="E5" s="167"/>
      <c r="F5" s="167"/>
      <c r="G5" s="167"/>
      <c r="H5" s="167"/>
      <c r="I5" s="167"/>
      <c r="J5" s="167"/>
      <c r="K5" s="167"/>
    </row>
    <row r="6" ht="13.5" customHeight="1" spans="1:11" x14ac:dyDescent="0.25">
      <c r="A6" s="166">
        <v>45334</v>
      </c>
      <c r="B6" s="167" t="s">
        <v>8</v>
      </c>
      <c r="C6" s="167"/>
      <c r="D6" s="167"/>
      <c r="E6" s="167"/>
      <c r="F6" s="167"/>
      <c r="G6" s="167"/>
      <c r="H6" s="167"/>
      <c r="I6" s="167"/>
      <c r="J6" s="167"/>
      <c r="K6" s="167"/>
    </row>
    <row r="7" ht="13.5" customHeight="1" spans="1:11" x14ac:dyDescent="0.25">
      <c r="A7" s="166">
        <v>45345</v>
      </c>
      <c r="B7" s="167" t="s">
        <v>123</v>
      </c>
      <c r="C7" s="167"/>
      <c r="D7" s="167"/>
      <c r="E7" s="167"/>
      <c r="F7" s="167"/>
      <c r="G7" s="167"/>
      <c r="H7" s="167"/>
      <c r="I7" s="167"/>
      <c r="J7" s="167"/>
      <c r="K7" s="167"/>
    </row>
    <row r="8" ht="13.5" customHeight="1" spans="1:11" x14ac:dyDescent="0.25">
      <c r="A8" s="166">
        <v>45371</v>
      </c>
      <c r="B8" s="167" t="s">
        <v>124</v>
      </c>
      <c r="C8" s="167"/>
      <c r="D8" s="167"/>
      <c r="E8" s="167"/>
      <c r="F8" s="167"/>
      <c r="G8" s="167"/>
      <c r="H8" s="167"/>
      <c r="I8" s="167"/>
      <c r="J8" s="167"/>
      <c r="K8" s="167"/>
    </row>
    <row r="9" ht="13.5" customHeight="1" spans="1:11" x14ac:dyDescent="0.25">
      <c r="A9" s="166">
        <v>45411</v>
      </c>
      <c r="B9" s="167" t="s">
        <v>125</v>
      </c>
      <c r="C9" s="167"/>
      <c r="D9" s="167"/>
      <c r="E9" s="167"/>
      <c r="F9" s="167"/>
      <c r="G9" s="167"/>
      <c r="H9" s="167"/>
      <c r="I9" s="167"/>
      <c r="J9" s="167"/>
      <c r="K9" s="167"/>
    </row>
    <row r="10" ht="13.5" customHeight="1" spans="1:11" x14ac:dyDescent="0.25">
      <c r="A10" s="166">
        <v>45415</v>
      </c>
      <c r="B10" s="167" t="s">
        <v>126</v>
      </c>
      <c r="C10" s="167"/>
      <c r="D10" s="167"/>
      <c r="E10" s="167"/>
      <c r="F10" s="167"/>
      <c r="G10" s="167"/>
      <c r="H10" s="167"/>
      <c r="I10" s="167"/>
      <c r="J10" s="167"/>
      <c r="K10" s="167"/>
    </row>
    <row r="11" ht="13.5" customHeight="1" spans="1:11" x14ac:dyDescent="0.25">
      <c r="A11" s="166">
        <v>45416</v>
      </c>
      <c r="B11" s="167" t="s">
        <v>127</v>
      </c>
      <c r="C11" s="167"/>
      <c r="D11" s="167"/>
      <c r="E11" s="167"/>
      <c r="F11" s="167"/>
      <c r="G11" s="167"/>
      <c r="H11" s="167"/>
      <c r="I11" s="167"/>
      <c r="J11" s="167"/>
      <c r="K11" s="167"/>
    </row>
    <row r="12" ht="13.5" customHeight="1" spans="1:11" x14ac:dyDescent="0.25">
      <c r="A12" s="166">
        <v>45417</v>
      </c>
      <c r="B12" s="167" t="s">
        <v>128</v>
      </c>
      <c r="C12" s="167"/>
      <c r="D12" s="167"/>
      <c r="E12" s="167"/>
      <c r="F12" s="167"/>
      <c r="G12" s="167"/>
      <c r="H12" s="167"/>
      <c r="I12" s="167"/>
      <c r="J12" s="167"/>
      <c r="K12" s="167"/>
    </row>
    <row r="13" ht="13.5" customHeight="1" spans="1:11" x14ac:dyDescent="0.25">
      <c r="A13" s="166">
        <v>45418</v>
      </c>
      <c r="B13" s="167" t="s">
        <v>8</v>
      </c>
      <c r="C13" s="167"/>
      <c r="D13" s="167"/>
      <c r="E13" s="167"/>
      <c r="F13" s="167"/>
      <c r="G13" s="167"/>
      <c r="H13" s="167"/>
      <c r="I13" s="167"/>
      <c r="J13" s="167"/>
      <c r="K13" s="167"/>
    </row>
    <row r="14" ht="13.5" customHeight="1" spans="1:11" x14ac:dyDescent="0.25">
      <c r="A14" s="166">
        <v>45488</v>
      </c>
      <c r="B14" s="167" t="s">
        <v>129</v>
      </c>
      <c r="C14" s="167"/>
      <c r="D14" s="167"/>
      <c r="E14" s="167"/>
      <c r="F14" s="167"/>
      <c r="G14" s="167"/>
      <c r="H14" s="167"/>
      <c r="I14" s="167"/>
      <c r="J14" s="167"/>
      <c r="K14" s="167"/>
    </row>
    <row r="15" ht="13.5" customHeight="1" spans="1:11" x14ac:dyDescent="0.25">
      <c r="A15" s="166">
        <v>45515</v>
      </c>
      <c r="B15" s="167" t="s">
        <v>130</v>
      </c>
      <c r="C15" s="167"/>
      <c r="D15" s="167"/>
      <c r="E15" s="167"/>
      <c r="F15" s="167"/>
      <c r="G15" s="167"/>
      <c r="H15" s="167"/>
      <c r="I15" s="167"/>
      <c r="J15" s="167"/>
      <c r="K15" s="167"/>
    </row>
    <row r="16" ht="13.5" customHeight="1" spans="1:11" x14ac:dyDescent="0.25">
      <c r="A16" s="166">
        <v>45516</v>
      </c>
      <c r="B16" s="167" t="s">
        <v>8</v>
      </c>
      <c r="C16" s="167"/>
      <c r="D16" s="167"/>
      <c r="E16" s="167"/>
      <c r="F16" s="167"/>
      <c r="G16" s="167"/>
      <c r="H16" s="167"/>
      <c r="I16" s="167"/>
      <c r="J16" s="167"/>
      <c r="K16" s="167"/>
    </row>
    <row r="17" ht="13.5" customHeight="1" spans="1:11" x14ac:dyDescent="0.25">
      <c r="A17" s="166">
        <v>45551</v>
      </c>
      <c r="B17" s="167" t="s">
        <v>131</v>
      </c>
      <c r="C17" s="167"/>
      <c r="D17" s="167"/>
      <c r="E17" s="167"/>
      <c r="F17" s="167"/>
      <c r="G17" s="167"/>
      <c r="H17" s="167"/>
      <c r="I17" s="167"/>
      <c r="J17" s="167"/>
      <c r="K17" s="167"/>
    </row>
    <row r="18" ht="13.5" customHeight="1" spans="1:11" x14ac:dyDescent="0.25">
      <c r="A18" s="166">
        <v>45557</v>
      </c>
      <c r="B18" s="167" t="s">
        <v>132</v>
      </c>
      <c r="C18" s="167"/>
      <c r="D18" s="167"/>
      <c r="E18" s="167"/>
      <c r="F18" s="167"/>
      <c r="G18" s="167"/>
      <c r="H18" s="167"/>
      <c r="I18" s="167"/>
      <c r="J18" s="167"/>
      <c r="K18" s="167"/>
    </row>
    <row r="19" ht="13.5" customHeight="1" spans="1:11" x14ac:dyDescent="0.25">
      <c r="A19" s="166">
        <v>45558</v>
      </c>
      <c r="B19" s="167" t="s">
        <v>8</v>
      </c>
      <c r="C19" s="167"/>
      <c r="D19" s="167"/>
      <c r="E19" s="167"/>
      <c r="F19" s="167"/>
      <c r="G19" s="167"/>
      <c r="H19" s="167"/>
      <c r="I19" s="167"/>
      <c r="J19" s="167"/>
      <c r="K19" s="167"/>
    </row>
    <row r="20" ht="13.5" customHeight="1" spans="1:11" x14ac:dyDescent="0.25">
      <c r="A20" s="166">
        <v>45579</v>
      </c>
      <c r="B20" s="167" t="s">
        <v>133</v>
      </c>
      <c r="C20" s="167"/>
      <c r="D20" s="167"/>
      <c r="E20" s="167"/>
      <c r="F20" s="167"/>
      <c r="G20" s="167"/>
      <c r="H20" s="167"/>
      <c r="I20" s="167"/>
      <c r="J20" s="167"/>
      <c r="K20" s="167"/>
    </row>
    <row r="21" ht="13.5" customHeight="1" spans="1:11" x14ac:dyDescent="0.25">
      <c r="A21" s="166">
        <v>45599</v>
      </c>
      <c r="B21" s="167" t="s">
        <v>134</v>
      </c>
      <c r="C21" s="167"/>
      <c r="D21" s="167"/>
      <c r="E21" s="167"/>
      <c r="F21" s="167"/>
      <c r="G21" s="167"/>
      <c r="H21" s="167"/>
      <c r="I21" s="167"/>
      <c r="J21" s="167"/>
      <c r="K21" s="167"/>
    </row>
    <row r="22" ht="13.5" customHeight="1" spans="1:11" x14ac:dyDescent="0.25">
      <c r="A22" s="166">
        <v>45600</v>
      </c>
      <c r="B22" s="167" t="s">
        <v>8</v>
      </c>
      <c r="C22" s="167"/>
      <c r="D22" s="167"/>
      <c r="E22" s="167"/>
      <c r="F22" s="167"/>
      <c r="G22" s="167"/>
      <c r="H22" s="167"/>
      <c r="I22" s="167"/>
      <c r="J22" s="167"/>
      <c r="K22" s="167"/>
    </row>
    <row r="23" ht="13.5" customHeight="1" spans="1:11" x14ac:dyDescent="0.25">
      <c r="A23" s="166">
        <v>45619</v>
      </c>
      <c r="B23" s="167" t="s">
        <v>135</v>
      </c>
      <c r="C23" s="167"/>
      <c r="D23" s="167"/>
      <c r="E23" s="167"/>
      <c r="F23" s="167"/>
      <c r="G23" s="167"/>
      <c r="H23" s="167"/>
      <c r="I23" s="167"/>
      <c r="J23" s="167"/>
      <c r="K23" s="167"/>
    </row>
    <row r="24" ht="13.5" customHeight="1" spans="1:11" x14ac:dyDescent="0.25">
      <c r="A24" s="166">
        <v>45657</v>
      </c>
      <c r="B24" s="167" t="s">
        <v>136</v>
      </c>
      <c r="C24" s="167"/>
      <c r="D24" s="167"/>
      <c r="E24" s="167"/>
      <c r="F24" s="167"/>
      <c r="G24" s="167"/>
      <c r="H24" s="167"/>
      <c r="I24" s="167"/>
      <c r="J24" s="167"/>
      <c r="K24" s="167"/>
    </row>
    <row r="25" ht="13.5" customHeight="1" spans="1:11" x14ac:dyDescent="0.25">
      <c r="A25" s="166">
        <v>45658</v>
      </c>
      <c r="B25" s="167" t="s">
        <v>119</v>
      </c>
      <c r="C25" s="167"/>
      <c r="D25" s="167"/>
      <c r="E25" s="167"/>
      <c r="F25" s="167"/>
      <c r="G25" s="167"/>
      <c r="H25" s="167"/>
      <c r="I25" s="167"/>
      <c r="J25" s="167"/>
      <c r="K25" s="167"/>
    </row>
    <row r="26" ht="13.5" customHeight="1" spans="1:11" x14ac:dyDescent="0.25">
      <c r="A26" s="166">
        <v>45659</v>
      </c>
      <c r="B26" s="167" t="s">
        <v>120</v>
      </c>
      <c r="C26" s="167"/>
      <c r="D26" s="167"/>
      <c r="E26" s="167"/>
      <c r="F26" s="167"/>
      <c r="G26" s="167"/>
      <c r="H26" s="167"/>
      <c r="I26" s="167"/>
      <c r="J26" s="167"/>
      <c r="K26" s="167"/>
    </row>
    <row r="27" ht="13.5" customHeight="1" spans="1:11" x14ac:dyDescent="0.25">
      <c r="A27" s="166">
        <v>45660</v>
      </c>
      <c r="B27" s="167" t="s">
        <v>120</v>
      </c>
      <c r="C27" s="167"/>
      <c r="D27" s="167"/>
      <c r="E27" s="167"/>
      <c r="F27" s="167"/>
      <c r="G27" s="167"/>
      <c r="H27" s="167"/>
      <c r="I27" s="167"/>
      <c r="J27" s="167"/>
      <c r="K27" s="167"/>
    </row>
    <row r="28" ht="13.5" customHeight="1" spans="1:11" x14ac:dyDescent="0.25">
      <c r="A28" s="166">
        <v>45670</v>
      </c>
      <c r="B28" s="167" t="s">
        <v>121</v>
      </c>
      <c r="C28" s="167"/>
      <c r="D28" s="167"/>
      <c r="E28" s="167"/>
      <c r="F28" s="167"/>
      <c r="G28" s="167"/>
      <c r="H28" s="167"/>
      <c r="I28" s="167"/>
      <c r="J28" s="167"/>
      <c r="K28" s="167"/>
    </row>
    <row r="29" ht="13.5" customHeight="1" spans="1:11" x14ac:dyDescent="0.25">
      <c r="A29" s="166">
        <v>45699</v>
      </c>
      <c r="B29" s="167" t="s">
        <v>122</v>
      </c>
      <c r="C29" s="167"/>
      <c r="D29" s="167"/>
      <c r="E29" s="167"/>
      <c r="F29" s="167"/>
      <c r="G29" s="167"/>
      <c r="H29" s="167"/>
      <c r="I29" s="167"/>
      <c r="J29" s="167"/>
      <c r="K29" s="167"/>
    </row>
    <row r="30" ht="13.5" customHeight="1" spans="1:11" x14ac:dyDescent="0.25">
      <c r="A30" s="166">
        <v>45711</v>
      </c>
      <c r="B30" s="167" t="s">
        <v>123</v>
      </c>
      <c r="C30" s="167"/>
      <c r="D30" s="167"/>
      <c r="E30" s="167"/>
      <c r="F30" s="167"/>
      <c r="G30" s="167"/>
      <c r="H30" s="167"/>
      <c r="I30" s="167"/>
      <c r="J30" s="167"/>
      <c r="K30" s="167"/>
    </row>
    <row r="31" ht="13.5" customHeight="1" spans="1:11" x14ac:dyDescent="0.25">
      <c r="A31" s="166">
        <v>45712</v>
      </c>
      <c r="B31" s="167" t="s">
        <v>8</v>
      </c>
      <c r="C31" s="167"/>
      <c r="D31" s="167"/>
      <c r="E31" s="167"/>
      <c r="F31" s="167"/>
      <c r="G31" s="167"/>
      <c r="H31" s="167"/>
      <c r="I31" s="167"/>
      <c r="J31" s="167"/>
      <c r="K31" s="167"/>
    </row>
    <row r="32" ht="13.5" customHeight="1" spans="1:11" x14ac:dyDescent="0.25">
      <c r="A32" s="166">
        <v>45736</v>
      </c>
      <c r="B32" s="167" t="s">
        <v>124</v>
      </c>
      <c r="C32" s="167"/>
      <c r="D32" s="167"/>
      <c r="E32" s="167"/>
      <c r="F32" s="167"/>
      <c r="G32" s="167"/>
      <c r="H32" s="167"/>
      <c r="I32" s="167"/>
      <c r="J32" s="167"/>
      <c r="K32" s="167"/>
    </row>
    <row r="33" ht="13.5" customHeight="1" spans="1:11" x14ac:dyDescent="0.25">
      <c r="A33" s="166">
        <v>45776</v>
      </c>
      <c r="B33" s="167" t="s">
        <v>125</v>
      </c>
      <c r="C33" s="167"/>
      <c r="D33" s="167"/>
      <c r="E33" s="167"/>
      <c r="F33" s="167"/>
      <c r="G33" s="167"/>
      <c r="H33" s="167"/>
      <c r="I33" s="167"/>
      <c r="J33" s="167"/>
      <c r="K33" s="167"/>
    </row>
    <row r="34" ht="13.5" customHeight="1" spans="1:11" x14ac:dyDescent="0.25">
      <c r="A34" s="166">
        <v>45780</v>
      </c>
      <c r="B34" s="167" t="s">
        <v>126</v>
      </c>
      <c r="C34" s="167"/>
      <c r="D34" s="167"/>
      <c r="E34" s="167"/>
      <c r="F34" s="167"/>
      <c r="G34" s="167"/>
      <c r="H34" s="167"/>
      <c r="I34" s="167"/>
      <c r="J34" s="167"/>
      <c r="K34" s="167"/>
    </row>
    <row r="35" ht="13.5" customHeight="1" spans="1:11" x14ac:dyDescent="0.25">
      <c r="A35" s="166">
        <v>45781</v>
      </c>
      <c r="B35" s="167" t="s">
        <v>127</v>
      </c>
      <c r="C35" s="167"/>
      <c r="D35" s="167"/>
      <c r="E35" s="167"/>
      <c r="F35" s="167"/>
      <c r="G35" s="167"/>
      <c r="H35" s="167"/>
      <c r="I35" s="167"/>
      <c r="J35" s="167"/>
      <c r="K35" s="167"/>
    </row>
    <row r="36" ht="13.5" customHeight="1" spans="1:11" x14ac:dyDescent="0.25">
      <c r="A36" s="166">
        <v>45782</v>
      </c>
      <c r="B36" s="167" t="s">
        <v>128</v>
      </c>
      <c r="C36" s="167"/>
      <c r="D36" s="167"/>
      <c r="E36" s="167"/>
      <c r="F36" s="167"/>
      <c r="G36" s="167"/>
      <c r="H36" s="167"/>
      <c r="I36" s="167"/>
      <c r="J36" s="167"/>
      <c r="K36" s="167"/>
    </row>
    <row r="37" ht="13.5" customHeight="1" spans="1:11" x14ac:dyDescent="0.25">
      <c r="A37" s="166">
        <v>45783</v>
      </c>
      <c r="B37" s="167" t="s">
        <v>8</v>
      </c>
      <c r="C37" s="167"/>
      <c r="D37" s="167"/>
      <c r="E37" s="167"/>
      <c r="F37" s="167"/>
      <c r="G37" s="167"/>
      <c r="H37" s="167"/>
      <c r="I37" s="167"/>
      <c r="J37" s="167"/>
      <c r="K37" s="167"/>
    </row>
    <row r="38" ht="13.5" customHeight="1" spans="1:11" x14ac:dyDescent="0.25">
      <c r="A38" s="166">
        <v>45859</v>
      </c>
      <c r="B38" s="167" t="s">
        <v>129</v>
      </c>
      <c r="C38" s="167"/>
      <c r="D38" s="167"/>
      <c r="E38" s="167"/>
      <c r="F38" s="167"/>
      <c r="G38" s="167"/>
      <c r="H38" s="167"/>
      <c r="I38" s="167"/>
      <c r="J38" s="167"/>
      <c r="K38" s="167"/>
    </row>
    <row r="39" ht="13.5" customHeight="1" spans="1:11" x14ac:dyDescent="0.25">
      <c r="A39" s="166">
        <v>45880</v>
      </c>
      <c r="B39" s="167" t="s">
        <v>130</v>
      </c>
      <c r="C39" s="167"/>
      <c r="D39" s="167"/>
      <c r="E39" s="167"/>
      <c r="F39" s="167"/>
      <c r="G39" s="167"/>
      <c r="H39" s="167"/>
      <c r="I39" s="167"/>
      <c r="J39" s="167"/>
      <c r="K39" s="167"/>
    </row>
    <row r="40" ht="13.5" customHeight="1" spans="1:11" x14ac:dyDescent="0.25">
      <c r="A40" s="166">
        <v>45915</v>
      </c>
      <c r="B40" s="167" t="s">
        <v>131</v>
      </c>
      <c r="C40" s="167"/>
      <c r="D40" s="167"/>
      <c r="E40" s="167"/>
      <c r="F40" s="167"/>
      <c r="G40" s="167"/>
      <c r="H40" s="167"/>
      <c r="I40" s="167"/>
      <c r="J40" s="167"/>
      <c r="K40" s="167"/>
    </row>
    <row r="41" ht="13.5" customHeight="1" spans="1:11" x14ac:dyDescent="0.25">
      <c r="A41" s="166">
        <v>45923</v>
      </c>
      <c r="B41" s="167" t="s">
        <v>132</v>
      </c>
      <c r="C41" s="167"/>
      <c r="D41" s="167"/>
      <c r="E41" s="167"/>
      <c r="F41" s="167"/>
      <c r="G41" s="167"/>
      <c r="H41" s="167"/>
      <c r="I41" s="167"/>
      <c r="J41" s="167"/>
      <c r="K41" s="167"/>
    </row>
    <row r="42" ht="13.5" customHeight="1" spans="1:11" x14ac:dyDescent="0.25">
      <c r="A42" s="166">
        <v>45943</v>
      </c>
      <c r="B42" s="167" t="s">
        <v>133</v>
      </c>
      <c r="C42" s="167"/>
      <c r="D42" s="167"/>
      <c r="E42" s="167"/>
      <c r="F42" s="167"/>
      <c r="G42" s="167"/>
      <c r="H42" s="167"/>
      <c r="I42" s="167"/>
      <c r="J42" s="167"/>
      <c r="K42" s="167"/>
    </row>
    <row r="43" ht="13.5" customHeight="1" spans="1:11" x14ac:dyDescent="0.25">
      <c r="A43" s="166">
        <v>45964</v>
      </c>
      <c r="B43" s="167" t="s">
        <v>134</v>
      </c>
      <c r="C43" s="167"/>
      <c r="D43" s="167"/>
      <c r="E43" s="167"/>
      <c r="F43" s="167"/>
      <c r="G43" s="167"/>
      <c r="H43" s="167"/>
      <c r="I43" s="167"/>
      <c r="J43" s="167"/>
      <c r="K43" s="167"/>
    </row>
    <row r="44" ht="13.5" customHeight="1" spans="1:11" x14ac:dyDescent="0.25">
      <c r="A44" s="166">
        <v>45984</v>
      </c>
      <c r="B44" s="167" t="s">
        <v>135</v>
      </c>
      <c r="C44" s="167"/>
      <c r="D44" s="167"/>
      <c r="E44" s="167"/>
      <c r="F44" s="167"/>
      <c r="G44" s="167"/>
      <c r="H44" s="167"/>
      <c r="I44" s="167"/>
      <c r="J44" s="167"/>
      <c r="K44" s="167"/>
    </row>
    <row r="45" ht="13.5" customHeight="1" spans="1:11" x14ac:dyDescent="0.25">
      <c r="A45" s="166">
        <v>45985</v>
      </c>
      <c r="B45" s="167" t="s">
        <v>8</v>
      </c>
      <c r="C45" s="167"/>
      <c r="D45" s="167"/>
      <c r="E45" s="167"/>
      <c r="F45" s="167"/>
      <c r="G45" s="167"/>
      <c r="H45" s="167"/>
      <c r="I45" s="167"/>
      <c r="J45" s="167"/>
      <c r="K45" s="167"/>
    </row>
    <row r="46" ht="13.5" customHeight="1" spans="1:11" x14ac:dyDescent="0.25">
      <c r="A46" s="166">
        <v>46022</v>
      </c>
      <c r="B46" s="167" t="s">
        <v>136</v>
      </c>
      <c r="C46" s="167"/>
      <c r="D46" s="167"/>
      <c r="E46" s="167"/>
      <c r="F46" s="167"/>
      <c r="G46" s="167"/>
      <c r="H46" s="167"/>
      <c r="I46" s="167"/>
      <c r="J46" s="167"/>
      <c r="K46" s="167"/>
    </row>
    <row r="47" ht="13.5" customHeight="1" spans="1:11" x14ac:dyDescent="0.25">
      <c r="A47" s="166">
        <v>46023</v>
      </c>
      <c r="B47" s="167" t="s">
        <v>119</v>
      </c>
      <c r="C47" s="167"/>
      <c r="D47" s="167"/>
      <c r="E47" s="167"/>
      <c r="F47" s="167"/>
      <c r="G47" s="167"/>
      <c r="H47" s="167"/>
      <c r="I47" s="167"/>
      <c r="J47" s="167"/>
      <c r="K47" s="167"/>
    </row>
    <row r="48" ht="13.5" customHeight="1" spans="1:11" x14ac:dyDescent="0.25">
      <c r="A48" s="166">
        <v>46024</v>
      </c>
      <c r="B48" s="167" t="s">
        <v>120</v>
      </c>
      <c r="C48" s="167"/>
      <c r="D48" s="167"/>
      <c r="E48" s="167"/>
      <c r="F48" s="167"/>
      <c r="G48" s="167"/>
      <c r="H48" s="167"/>
      <c r="I48" s="167"/>
      <c r="J48" s="167"/>
      <c r="K48" s="167"/>
    </row>
    <row r="49" ht="13.5" customHeight="1" spans="1:11" x14ac:dyDescent="0.25">
      <c r="A49" s="166">
        <v>46025</v>
      </c>
      <c r="B49" s="167" t="s">
        <v>120</v>
      </c>
      <c r="C49" s="167"/>
      <c r="D49" s="167"/>
      <c r="E49" s="167"/>
      <c r="F49" s="167"/>
      <c r="G49" s="167"/>
      <c r="H49" s="167"/>
      <c r="I49" s="167"/>
      <c r="J49" s="167"/>
      <c r="K49" s="167"/>
    </row>
    <row r="50" ht="13.5" customHeight="1" spans="1:11" x14ac:dyDescent="0.25">
      <c r="A50" s="166">
        <v>46034</v>
      </c>
      <c r="B50" s="167" t="s">
        <v>121</v>
      </c>
      <c r="C50" s="167"/>
      <c r="D50" s="167"/>
      <c r="E50" s="167"/>
      <c r="F50" s="167"/>
      <c r="G50" s="167"/>
      <c r="H50" s="167"/>
      <c r="I50" s="167"/>
      <c r="J50" s="167"/>
      <c r="K50" s="167"/>
    </row>
    <row r="51" ht="13.5" customHeight="1" spans="1:11" x14ac:dyDescent="0.25">
      <c r="A51" s="166">
        <v>46064</v>
      </c>
      <c r="B51" s="167" t="s">
        <v>122</v>
      </c>
      <c r="C51" s="167"/>
      <c r="D51" s="167"/>
      <c r="E51" s="167"/>
      <c r="F51" s="167"/>
      <c r="G51" s="167"/>
      <c r="H51" s="167"/>
      <c r="I51" s="167"/>
      <c r="J51" s="167"/>
      <c r="K51" s="167"/>
    </row>
    <row r="52" ht="13.5" customHeight="1" spans="1:11" x14ac:dyDescent="0.25">
      <c r="A52" s="166">
        <v>46076</v>
      </c>
      <c r="B52" s="167" t="s">
        <v>123</v>
      </c>
      <c r="C52" s="167"/>
      <c r="D52" s="167"/>
      <c r="E52" s="167"/>
      <c r="F52" s="167"/>
      <c r="G52" s="167"/>
      <c r="H52" s="167"/>
      <c r="I52" s="167"/>
      <c r="J52" s="167"/>
      <c r="K52" s="167"/>
    </row>
    <row r="53" ht="13.5" customHeight="1" spans="1:11" x14ac:dyDescent="0.25">
      <c r="A53" s="166">
        <v>46101</v>
      </c>
      <c r="B53" s="167" t="s">
        <v>124</v>
      </c>
      <c r="C53" s="167"/>
      <c r="D53" s="167"/>
      <c r="E53" s="167"/>
      <c r="F53" s="167"/>
      <c r="G53" s="167"/>
      <c r="H53" s="167"/>
      <c r="I53" s="167"/>
      <c r="J53" s="167"/>
      <c r="K53" s="167"/>
    </row>
    <row r="54" ht="13.5" customHeight="1" spans="1:11" x14ac:dyDescent="0.25">
      <c r="A54" s="166">
        <v>46141</v>
      </c>
      <c r="B54" s="167" t="s">
        <v>125</v>
      </c>
      <c r="C54" s="167"/>
      <c r="D54" s="167"/>
      <c r="E54" s="167"/>
      <c r="F54" s="167"/>
      <c r="G54" s="167"/>
      <c r="H54" s="167"/>
      <c r="I54" s="167"/>
      <c r="J54" s="167"/>
      <c r="K54" s="167"/>
    </row>
    <row r="55" ht="13.5" customHeight="1" spans="1:11" x14ac:dyDescent="0.25">
      <c r="A55" s="166">
        <v>46145</v>
      </c>
      <c r="B55" s="167" t="s">
        <v>126</v>
      </c>
      <c r="C55" s="167"/>
      <c r="D55" s="167"/>
      <c r="E55" s="167"/>
      <c r="F55" s="167"/>
      <c r="G55" s="167"/>
      <c r="H55" s="167"/>
      <c r="I55" s="167"/>
      <c r="J55" s="167"/>
      <c r="K55" s="167"/>
    </row>
    <row r="56" ht="13.5" customHeight="1" spans="1:11" x14ac:dyDescent="0.25">
      <c r="A56" s="166">
        <v>46146</v>
      </c>
      <c r="B56" s="167" t="s">
        <v>127</v>
      </c>
      <c r="C56" s="167"/>
      <c r="D56" s="167"/>
      <c r="E56" s="167"/>
      <c r="F56" s="167"/>
      <c r="G56" s="167"/>
      <c r="H56" s="167"/>
      <c r="I56" s="167"/>
      <c r="J56" s="167"/>
      <c r="K56" s="167"/>
    </row>
    <row r="57" ht="13.5" customHeight="1" spans="1:11" x14ac:dyDescent="0.25">
      <c r="A57" s="166">
        <v>46147</v>
      </c>
      <c r="B57" s="167" t="s">
        <v>128</v>
      </c>
      <c r="C57" s="167"/>
      <c r="D57" s="167"/>
      <c r="E57" s="167"/>
      <c r="F57" s="167"/>
      <c r="G57" s="167"/>
      <c r="H57" s="167"/>
      <c r="I57" s="167"/>
      <c r="J57" s="167"/>
      <c r="K57" s="167"/>
    </row>
    <row r="58" ht="13.5" customHeight="1" spans="1:11" x14ac:dyDescent="0.25">
      <c r="A58" s="166">
        <v>46148</v>
      </c>
      <c r="B58" s="167" t="s">
        <v>8</v>
      </c>
      <c r="C58" s="167"/>
      <c r="D58" s="167"/>
      <c r="E58" s="167"/>
      <c r="F58" s="167"/>
      <c r="G58" s="167"/>
      <c r="H58" s="167"/>
      <c r="I58" s="167"/>
      <c r="J58" s="167"/>
      <c r="K58" s="167"/>
    </row>
    <row r="59" ht="13.5" customHeight="1" spans="1:11" x14ac:dyDescent="0.25">
      <c r="A59" s="166">
        <v>46223</v>
      </c>
      <c r="B59" s="167" t="s">
        <v>129</v>
      </c>
      <c r="C59" s="167"/>
      <c r="D59" s="167"/>
      <c r="E59" s="167"/>
      <c r="F59" s="167"/>
      <c r="G59" s="167"/>
      <c r="H59" s="167"/>
      <c r="I59" s="167"/>
      <c r="J59" s="167"/>
      <c r="K59" s="167"/>
    </row>
    <row r="60" ht="13.5" customHeight="1" spans="1:11" x14ac:dyDescent="0.25">
      <c r="A60" s="166">
        <v>46245</v>
      </c>
      <c r="B60" s="167" t="s">
        <v>130</v>
      </c>
      <c r="C60" s="167"/>
      <c r="D60" s="167"/>
      <c r="E60" s="167"/>
      <c r="F60" s="167"/>
      <c r="G60" s="167"/>
      <c r="H60" s="167"/>
      <c r="I60" s="167"/>
      <c r="J60" s="167"/>
      <c r="K60" s="167"/>
    </row>
    <row r="61" ht="13.5" customHeight="1" spans="1:11" x14ac:dyDescent="0.25">
      <c r="A61" s="166">
        <v>46286</v>
      </c>
      <c r="B61" s="167" t="s">
        <v>131</v>
      </c>
      <c r="C61" s="167"/>
      <c r="D61" s="167"/>
      <c r="E61" s="167"/>
      <c r="F61" s="167"/>
      <c r="G61" s="167"/>
      <c r="H61" s="167"/>
      <c r="I61" s="167"/>
      <c r="J61" s="167"/>
      <c r="K61" s="167"/>
    </row>
    <row r="62" ht="13.5" customHeight="1" spans="1:11" x14ac:dyDescent="0.25">
      <c r="A62" s="166">
        <v>46287</v>
      </c>
      <c r="B62" s="167" t="s">
        <v>120</v>
      </c>
      <c r="C62" s="167"/>
      <c r="D62" s="167"/>
      <c r="E62" s="167"/>
      <c r="F62" s="167"/>
      <c r="G62" s="167"/>
      <c r="H62" s="167"/>
      <c r="I62" s="167"/>
      <c r="J62" s="167"/>
      <c r="K62" s="167"/>
    </row>
    <row r="63" ht="13.5" customHeight="1" spans="1:11" x14ac:dyDescent="0.25">
      <c r="A63" s="166">
        <v>46288</v>
      </c>
      <c r="B63" s="167" t="s">
        <v>132</v>
      </c>
      <c r="C63" s="167"/>
      <c r="D63" s="167"/>
      <c r="E63" s="167"/>
      <c r="F63" s="167"/>
      <c r="G63" s="167"/>
      <c r="H63" s="167"/>
      <c r="I63" s="167"/>
      <c r="J63" s="167"/>
      <c r="K63" s="167"/>
    </row>
    <row r="64" ht="13.5" customHeight="1" spans="1:11" x14ac:dyDescent="0.25">
      <c r="A64" s="166">
        <v>46307</v>
      </c>
      <c r="B64" s="167" t="s">
        <v>133</v>
      </c>
      <c r="C64" s="167"/>
      <c r="D64" s="167"/>
      <c r="E64" s="167"/>
      <c r="F64" s="167"/>
      <c r="G64" s="167"/>
      <c r="H64" s="167"/>
      <c r="I64" s="167"/>
      <c r="J64" s="167"/>
      <c r="K64" s="167"/>
    </row>
    <row r="65" ht="13.5" customHeight="1" spans="1:11" x14ac:dyDescent="0.25">
      <c r="A65" s="166">
        <v>46329</v>
      </c>
      <c r="B65" s="167" t="s">
        <v>134</v>
      </c>
      <c r="C65" s="167"/>
      <c r="D65" s="167"/>
      <c r="E65" s="167"/>
      <c r="F65" s="167"/>
      <c r="G65" s="167"/>
      <c r="H65" s="167"/>
      <c r="I65" s="167"/>
      <c r="J65" s="167"/>
      <c r="K65" s="167"/>
    </row>
    <row r="66" ht="13.5" customHeight="1" spans="1:11" x14ac:dyDescent="0.25">
      <c r="A66" s="166">
        <v>46349</v>
      </c>
      <c r="B66" s="167" t="s">
        <v>135</v>
      </c>
      <c r="C66" s="167"/>
      <c r="D66" s="167"/>
      <c r="E66" s="167"/>
      <c r="F66" s="167"/>
      <c r="G66" s="167"/>
      <c r="H66" s="167"/>
      <c r="I66" s="167"/>
      <c r="J66" s="167"/>
      <c r="K66" s="167"/>
    </row>
    <row r="67" ht="13.5" customHeight="1" spans="1:11" x14ac:dyDescent="0.25">
      <c r="A67" s="166">
        <v>46387</v>
      </c>
      <c r="B67" s="167" t="s">
        <v>136</v>
      </c>
      <c r="C67" s="167"/>
      <c r="D67" s="167"/>
      <c r="E67" s="167"/>
      <c r="F67" s="167"/>
      <c r="G67" s="167"/>
      <c r="H67" s="167"/>
      <c r="I67" s="167"/>
      <c r="J67" s="167"/>
      <c r="K67" s="167"/>
    </row>
    <row r="68" ht="13.5" customHeight="1" spans="1:11" x14ac:dyDescent="0.25">
      <c r="A68" s="166"/>
      <c r="B68" s="167"/>
      <c r="C68" s="167"/>
      <c r="D68" s="167"/>
      <c r="E68" s="167"/>
      <c r="F68" s="167"/>
      <c r="G68" s="167"/>
      <c r="H68" s="167"/>
      <c r="I68" s="167"/>
      <c r="J68" s="167"/>
      <c r="K68" s="167"/>
    </row>
    <row r="69" ht="13.5" customHeight="1" spans="1:11" x14ac:dyDescent="0.25">
      <c r="A69" s="166"/>
      <c r="B69" s="167"/>
      <c r="C69" s="167"/>
      <c r="D69" s="167"/>
      <c r="E69" s="167"/>
      <c r="F69" s="167"/>
      <c r="G69" s="167"/>
      <c r="H69" s="167"/>
      <c r="I69" s="167"/>
      <c r="J69" s="167"/>
      <c r="K69" s="167"/>
    </row>
    <row r="70" ht="13.5" customHeight="1" spans="1:11" x14ac:dyDescent="0.25">
      <c r="A70" s="166"/>
      <c r="B70" s="167"/>
      <c r="C70" s="167"/>
      <c r="D70" s="167"/>
      <c r="E70" s="167"/>
      <c r="F70" s="167"/>
      <c r="G70" s="167"/>
      <c r="H70" s="167"/>
      <c r="I70" s="167"/>
      <c r="J70" s="167"/>
      <c r="K70" s="167"/>
    </row>
    <row r="71" ht="13.5" customHeight="1" spans="1:11" x14ac:dyDescent="0.25">
      <c r="A71" s="166"/>
      <c r="B71" s="167"/>
      <c r="C71" s="167"/>
      <c r="D71" s="167"/>
      <c r="E71" s="167"/>
      <c r="F71" s="167"/>
      <c r="G71" s="167"/>
      <c r="H71" s="167"/>
      <c r="I71" s="167"/>
      <c r="J71" s="167"/>
      <c r="K71" s="167"/>
    </row>
    <row r="72" ht="13.5" customHeight="1" spans="1:11" x14ac:dyDescent="0.25">
      <c r="A72" s="166"/>
      <c r="B72" s="167"/>
      <c r="C72" s="167"/>
      <c r="D72" s="167"/>
      <c r="E72" s="167"/>
      <c r="F72" s="167"/>
      <c r="G72" s="167"/>
      <c r="H72" s="167"/>
      <c r="I72" s="167"/>
      <c r="J72" s="167"/>
      <c r="K72" s="167"/>
    </row>
    <row r="73" ht="13.5" customHeight="1" spans="1:11" x14ac:dyDescent="0.25">
      <c r="A73" s="166"/>
      <c r="B73" s="167"/>
      <c r="C73" s="167"/>
      <c r="D73" s="167"/>
      <c r="E73" s="167"/>
      <c r="F73" s="167"/>
      <c r="G73" s="167"/>
      <c r="H73" s="167"/>
      <c r="I73" s="167"/>
      <c r="J73" s="167"/>
      <c r="K73" s="167"/>
    </row>
    <row r="74" ht="13.5" customHeight="1" spans="1:11" x14ac:dyDescent="0.25">
      <c r="A74" s="166"/>
      <c r="B74" s="167"/>
      <c r="C74" s="167"/>
      <c r="D74" s="167"/>
      <c r="E74" s="167"/>
      <c r="F74" s="167"/>
      <c r="G74" s="167"/>
      <c r="H74" s="167"/>
      <c r="I74" s="167"/>
      <c r="J74" s="167"/>
      <c r="K74" s="167"/>
    </row>
    <row r="75" ht="13.5" customHeight="1" spans="1:11" x14ac:dyDescent="0.25">
      <c r="A75" s="166"/>
      <c r="B75" s="167"/>
      <c r="C75" s="167"/>
      <c r="D75" s="167"/>
      <c r="E75" s="167"/>
      <c r="F75" s="167"/>
      <c r="G75" s="167"/>
      <c r="H75" s="167"/>
      <c r="I75" s="167"/>
      <c r="J75" s="167"/>
      <c r="K75" s="167"/>
    </row>
    <row r="76" ht="13.5" customHeight="1" spans="1:11" x14ac:dyDescent="0.25">
      <c r="A76" s="166"/>
      <c r="B76" s="167"/>
      <c r="C76" s="167"/>
      <c r="D76" s="167"/>
      <c r="E76" s="167"/>
      <c r="F76" s="167"/>
      <c r="G76" s="167"/>
      <c r="H76" s="167"/>
      <c r="I76" s="167"/>
      <c r="J76" s="167"/>
      <c r="K76" s="167"/>
    </row>
    <row r="77" ht="13.5" customHeight="1" spans="1:11" x14ac:dyDescent="0.25">
      <c r="A77" s="166"/>
      <c r="B77" s="167"/>
      <c r="C77" s="167"/>
      <c r="D77" s="167"/>
      <c r="E77" s="167"/>
      <c r="F77" s="167"/>
      <c r="G77" s="167"/>
      <c r="H77" s="167"/>
      <c r="I77" s="167"/>
      <c r="J77" s="167"/>
      <c r="K77" s="167"/>
    </row>
    <row r="78" ht="13.5" customHeight="1" spans="1:11" x14ac:dyDescent="0.25">
      <c r="A78" s="166"/>
      <c r="B78" s="167"/>
      <c r="C78" s="167"/>
      <c r="D78" s="167"/>
      <c r="E78" s="167"/>
      <c r="F78" s="167"/>
      <c r="G78" s="167"/>
      <c r="H78" s="167"/>
      <c r="I78" s="167"/>
      <c r="J78" s="167"/>
      <c r="K78" s="167"/>
    </row>
    <row r="79" ht="13.5" customHeight="1" spans="1:11" x14ac:dyDescent="0.25">
      <c r="A79" s="166"/>
      <c r="B79" s="167"/>
      <c r="C79" s="167"/>
      <c r="D79" s="167"/>
      <c r="E79" s="167"/>
      <c r="F79" s="167"/>
      <c r="G79" s="167"/>
      <c r="H79" s="167"/>
      <c r="I79" s="167"/>
      <c r="J79" s="167"/>
      <c r="K79" s="167"/>
    </row>
    <row r="80" ht="13.5" customHeight="1" spans="1:11" x14ac:dyDescent="0.25">
      <c r="A80" s="166"/>
      <c r="B80" s="167"/>
      <c r="C80" s="167"/>
      <c r="D80" s="167"/>
      <c r="E80" s="167"/>
      <c r="F80" s="167"/>
      <c r="G80" s="167"/>
      <c r="H80" s="167"/>
      <c r="I80" s="167"/>
      <c r="J80" s="167"/>
      <c r="K80" s="167"/>
    </row>
    <row r="81" ht="13.5" customHeight="1" spans="1:11" x14ac:dyDescent="0.25">
      <c r="A81" s="166"/>
      <c r="B81" s="167"/>
      <c r="C81" s="167"/>
      <c r="D81" s="167"/>
      <c r="E81" s="167"/>
      <c r="F81" s="167"/>
      <c r="G81" s="167"/>
      <c r="H81" s="167"/>
      <c r="I81" s="167"/>
      <c r="J81" s="167"/>
      <c r="K81" s="167"/>
    </row>
    <row r="82" ht="13.5" customHeight="1" spans="1:11" x14ac:dyDescent="0.25">
      <c r="A82" s="166"/>
      <c r="B82" s="167"/>
      <c r="C82" s="167"/>
      <c r="D82" s="167"/>
      <c r="E82" s="167"/>
      <c r="F82" s="167"/>
      <c r="G82" s="167"/>
      <c r="H82" s="167"/>
      <c r="I82" s="167"/>
      <c r="J82" s="167"/>
      <c r="K82" s="167"/>
    </row>
    <row r="83" ht="13.5" customHeight="1" spans="1:11" x14ac:dyDescent="0.25">
      <c r="A83" s="166"/>
      <c r="B83" s="167"/>
      <c r="C83" s="167"/>
      <c r="D83" s="167"/>
      <c r="E83" s="167"/>
      <c r="F83" s="167"/>
      <c r="G83" s="167"/>
      <c r="H83" s="167"/>
      <c r="I83" s="167"/>
      <c r="J83" s="167"/>
      <c r="K83" s="167"/>
    </row>
    <row r="84" ht="13.5" customHeight="1" spans="1:11" x14ac:dyDescent="0.25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7"/>
    </row>
    <row r="85" ht="13.5" customHeight="1" spans="1:11" x14ac:dyDescent="0.25">
      <c r="A85" s="166"/>
      <c r="B85" s="167"/>
      <c r="C85" s="167"/>
      <c r="D85" s="167"/>
      <c r="E85" s="167"/>
      <c r="F85" s="167"/>
      <c r="G85" s="167"/>
      <c r="H85" s="167"/>
      <c r="I85" s="167"/>
      <c r="J85" s="167"/>
      <c r="K85" s="167"/>
    </row>
    <row r="86" ht="13.5" customHeight="1" spans="1:11" x14ac:dyDescent="0.25">
      <c r="A86" s="166"/>
      <c r="B86" s="167"/>
      <c r="C86" s="167"/>
      <c r="D86" s="167"/>
      <c r="E86" s="167"/>
      <c r="F86" s="167"/>
      <c r="G86" s="167"/>
      <c r="H86" s="167"/>
      <c r="I86" s="167"/>
      <c r="J86" s="167"/>
      <c r="K86" s="167"/>
    </row>
    <row r="87" ht="13.5" customHeight="1" spans="1:11" x14ac:dyDescent="0.25">
      <c r="A87" s="166"/>
      <c r="B87" s="167"/>
      <c r="C87" s="167"/>
      <c r="D87" s="167"/>
      <c r="E87" s="167"/>
      <c r="F87" s="167"/>
      <c r="G87" s="167"/>
      <c r="H87" s="167"/>
      <c r="I87" s="167"/>
      <c r="J87" s="167"/>
      <c r="K87" s="167"/>
    </row>
    <row r="88" ht="13.5" customHeight="1" spans="1:11" x14ac:dyDescent="0.25">
      <c r="A88" s="166"/>
      <c r="B88" s="167"/>
      <c r="C88" s="167"/>
      <c r="D88" s="167"/>
      <c r="E88" s="167"/>
      <c r="F88" s="167"/>
      <c r="G88" s="167"/>
      <c r="H88" s="167"/>
      <c r="I88" s="167"/>
      <c r="J88" s="167"/>
      <c r="K88" s="167"/>
    </row>
    <row r="89" ht="13.5" customHeight="1" spans="1:11" x14ac:dyDescent="0.25">
      <c r="A89" s="166"/>
      <c r="B89" s="167"/>
      <c r="C89" s="167"/>
      <c r="D89" s="167"/>
      <c r="E89" s="167"/>
      <c r="F89" s="167"/>
      <c r="G89" s="167"/>
      <c r="H89" s="167"/>
      <c r="I89" s="167"/>
      <c r="J89" s="167"/>
      <c r="K89" s="167"/>
    </row>
    <row r="90" ht="13.5" customHeight="1" spans="1:11" x14ac:dyDescent="0.25">
      <c r="A90" s="166"/>
      <c r="B90" s="167"/>
      <c r="C90" s="167"/>
      <c r="D90" s="167"/>
      <c r="E90" s="167"/>
      <c r="F90" s="167"/>
      <c r="G90" s="167"/>
      <c r="H90" s="167"/>
      <c r="I90" s="167"/>
      <c r="J90" s="167"/>
      <c r="K90" s="167"/>
    </row>
    <row r="91" ht="13.5" customHeight="1" spans="1:11" x14ac:dyDescent="0.25">
      <c r="A91" s="166"/>
      <c r="B91" s="167"/>
      <c r="C91" s="167"/>
      <c r="D91" s="167"/>
      <c r="E91" s="167"/>
      <c r="F91" s="167"/>
      <c r="G91" s="167"/>
      <c r="H91" s="167"/>
      <c r="I91" s="167"/>
      <c r="J91" s="167"/>
      <c r="K91" s="167"/>
    </row>
    <row r="92" ht="13.5" customHeight="1" spans="1:11" x14ac:dyDescent="0.25">
      <c r="A92" s="166"/>
      <c r="B92" s="167"/>
      <c r="C92" s="167"/>
      <c r="D92" s="167"/>
      <c r="E92" s="167"/>
      <c r="F92" s="167"/>
      <c r="G92" s="167"/>
      <c r="H92" s="167"/>
      <c r="I92" s="167"/>
      <c r="J92" s="167"/>
      <c r="K92" s="167"/>
    </row>
    <row r="93" ht="13.5" customHeight="1" spans="1:11" x14ac:dyDescent="0.25">
      <c r="A93" s="166"/>
      <c r="B93" s="167"/>
      <c r="C93" s="167"/>
      <c r="D93" s="167"/>
      <c r="E93" s="167"/>
      <c r="F93" s="167"/>
      <c r="G93" s="167"/>
      <c r="H93" s="167"/>
      <c r="I93" s="167"/>
      <c r="J93" s="167"/>
      <c r="K93" s="167"/>
    </row>
    <row r="94" ht="13.5" customHeight="1" spans="1:11" x14ac:dyDescent="0.25">
      <c r="A94" s="166"/>
      <c r="B94" s="167"/>
      <c r="C94" s="167"/>
      <c r="D94" s="167"/>
      <c r="E94" s="167"/>
      <c r="F94" s="167"/>
      <c r="G94" s="167"/>
      <c r="H94" s="167"/>
      <c r="I94" s="167"/>
      <c r="J94" s="167"/>
      <c r="K94" s="167"/>
    </row>
    <row r="95" ht="13.5" customHeight="1" spans="1:11" x14ac:dyDescent="0.25">
      <c r="A95" s="166"/>
      <c r="B95" s="167"/>
      <c r="C95" s="167"/>
      <c r="D95" s="167"/>
      <c r="E95" s="167"/>
      <c r="F95" s="167"/>
      <c r="G95" s="167"/>
      <c r="H95" s="167"/>
      <c r="I95" s="167"/>
      <c r="J95" s="167"/>
      <c r="K95" s="167"/>
    </row>
    <row r="96" ht="13.5" customHeight="1" spans="1:11" x14ac:dyDescent="0.25">
      <c r="A96" s="166"/>
      <c r="B96" s="167"/>
      <c r="C96" s="167"/>
      <c r="D96" s="167"/>
      <c r="E96" s="167"/>
      <c r="F96" s="167"/>
      <c r="G96" s="167"/>
      <c r="H96" s="167"/>
      <c r="I96" s="167"/>
      <c r="J96" s="167"/>
      <c r="K96" s="167"/>
    </row>
    <row r="97" ht="13.5" customHeight="1" spans="1:11" x14ac:dyDescent="0.25">
      <c r="A97" s="166"/>
      <c r="B97" s="167"/>
      <c r="C97" s="167"/>
      <c r="D97" s="167"/>
      <c r="E97" s="167"/>
      <c r="F97" s="167"/>
      <c r="G97" s="167"/>
      <c r="H97" s="167"/>
      <c r="I97" s="167"/>
      <c r="J97" s="167"/>
      <c r="K97" s="167"/>
    </row>
    <row r="98" ht="13.5" customHeight="1" spans="1:11" x14ac:dyDescent="0.25">
      <c r="A98" s="166"/>
      <c r="B98" s="167"/>
      <c r="C98" s="167"/>
      <c r="D98" s="167"/>
      <c r="E98" s="167"/>
      <c r="F98" s="167"/>
      <c r="G98" s="167"/>
      <c r="H98" s="167"/>
      <c r="I98" s="167"/>
      <c r="J98" s="167"/>
      <c r="K98" s="167"/>
    </row>
    <row r="99" ht="13.5" customHeight="1" spans="1:11" x14ac:dyDescent="0.25">
      <c r="A99" s="166"/>
      <c r="B99" s="167"/>
      <c r="C99" s="167"/>
      <c r="D99" s="167"/>
      <c r="E99" s="167"/>
      <c r="F99" s="167"/>
      <c r="G99" s="167"/>
      <c r="H99" s="167"/>
      <c r="I99" s="167"/>
      <c r="J99" s="167"/>
      <c r="K99" s="167"/>
    </row>
    <row r="100" ht="13.5" customHeight="1" spans="1:11" x14ac:dyDescent="0.25">
      <c r="A100" s="166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</row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業務報告書・社内用（20日締）</vt:lpstr>
      <vt:lpstr>祝祭日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madan</dc:creator>
  <cp:lastModifiedBy>Mohammed Roshan</cp:lastModifiedBy>
  <cp:lastPrinted>2026-08-20T02:00:47Z</cp:lastPrinted>
  <dcterms:created xsi:type="dcterms:W3CDTF">2026-08-20T02:01:05Z</dcterms:created>
  <dcterms:modified xsi:type="dcterms:W3CDTF">2026-09-11T14:41:26Z</dcterms:modified>
</cp:coreProperties>
</file>